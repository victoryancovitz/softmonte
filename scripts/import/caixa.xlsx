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victoryancovitz/Downloads/"/>
    </mc:Choice>
  </mc:AlternateContent>
  <xr:revisionPtr revIDLastSave="0" documentId="8_{33698E78-DE34-9849-A244-AC6C3CF4A400}" xr6:coauthVersionLast="47" xr6:coauthVersionMax="47" xr10:uidLastSave="{00000000-0000-0000-0000-000000000000}"/>
  <bookViews>
    <workbookView xWindow="0" yWindow="680" windowWidth="34200" windowHeight="19880" activeTab="1" xr2:uid="{00000000-000D-0000-FFFF-FFFF00000000}"/>
  </bookViews>
  <sheets>
    <sheet name="BD" sheetId="36" state="hidden" r:id="rId1"/>
    <sheet name="BASE DE DADOS - 2026" sheetId="115" r:id="rId2"/>
    <sheet name="TABELA DINÂMICA" sheetId="116" state="hidden" r:id="rId3"/>
  </sheets>
  <definedNames>
    <definedName name="_xlnm._FilterDatabase" localSheetId="1" hidden="1">'BASE DE DADOS - 2026'!$B$4:$K$490</definedName>
    <definedName name="_xlnm._FilterDatabase" localSheetId="0" hidden="1">BD!$G$1:$G$79</definedName>
    <definedName name="_xlnm.Print_Area" localSheetId="1">'BASE DE DADOS - 2026'!$A$1:$L$511</definedName>
    <definedName name="_xlnm.Print_Titles" localSheetId="1">'BASE DE DADOS - 2026'!$1:$4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6" i="115" l="1"/>
  <c r="G497" i="115"/>
  <c r="G498" i="115"/>
  <c r="G499" i="115"/>
  <c r="G500" i="115"/>
  <c r="G501" i="115"/>
  <c r="G502" i="115"/>
  <c r="G503" i="115"/>
  <c r="G504" i="115"/>
  <c r="G505" i="115"/>
  <c r="G506" i="115"/>
  <c r="G507" i="115"/>
  <c r="G508" i="115"/>
  <c r="H498" i="115"/>
  <c r="H508" i="115"/>
  <c r="G494" i="115"/>
  <c r="H494" i="115"/>
  <c r="H495" i="115"/>
  <c r="H496" i="115"/>
  <c r="H497" i="115"/>
  <c r="H499" i="115"/>
  <c r="H500" i="115"/>
  <c r="H501" i="115"/>
  <c r="H502" i="115"/>
  <c r="H503" i="115"/>
  <c r="H504" i="115"/>
  <c r="H505" i="115"/>
  <c r="H506" i="115"/>
  <c r="H507" i="115"/>
  <c r="H509" i="115"/>
  <c r="B260" i="115"/>
  <c r="B261" i="115"/>
  <c r="B262" i="115"/>
  <c r="B263" i="115"/>
  <c r="B264" i="115"/>
  <c r="B265" i="115"/>
  <c r="B266" i="115"/>
  <c r="B267" i="115"/>
  <c r="B268" i="115"/>
  <c r="B269" i="115"/>
  <c r="B270" i="115"/>
  <c r="B271" i="115"/>
  <c r="B272" i="115"/>
  <c r="B275" i="115"/>
  <c r="B276" i="115"/>
  <c r="B277" i="115"/>
  <c r="B278" i="115"/>
  <c r="B279" i="115"/>
  <c r="B281" i="115"/>
  <c r="B282" i="115"/>
  <c r="B283" i="115"/>
  <c r="B284" i="115"/>
  <c r="B285" i="115"/>
  <c r="B286" i="115"/>
  <c r="B287" i="115"/>
  <c r="B288" i="115"/>
  <c r="B289" i="115"/>
  <c r="B290" i="115"/>
  <c r="B291" i="115"/>
  <c r="B292" i="115"/>
  <c r="B293" i="115"/>
  <c r="B294" i="115"/>
  <c r="B295" i="115"/>
  <c r="B296" i="115"/>
  <c r="B297" i="115"/>
  <c r="B298" i="115"/>
  <c r="B299" i="115"/>
  <c r="B300" i="115"/>
  <c r="B301" i="115"/>
  <c r="B302" i="115"/>
  <c r="B303" i="115"/>
  <c r="B304" i="115"/>
  <c r="B305" i="115"/>
  <c r="B306" i="115"/>
  <c r="B307" i="115"/>
  <c r="B308" i="115"/>
  <c r="B309" i="115"/>
  <c r="B310" i="115"/>
  <c r="B311" i="115"/>
  <c r="B313" i="115"/>
  <c r="B314" i="115"/>
  <c r="B315" i="115"/>
  <c r="B316" i="115"/>
  <c r="B317" i="115"/>
  <c r="B318" i="115"/>
  <c r="B319" i="115"/>
  <c r="B320" i="115"/>
  <c r="B321" i="115"/>
  <c r="B322" i="115"/>
  <c r="B323" i="115"/>
  <c r="B324" i="115"/>
  <c r="B325" i="115"/>
  <c r="B326" i="115"/>
  <c r="B327" i="115"/>
  <c r="B328" i="115"/>
  <c r="B329" i="115"/>
  <c r="B330" i="115"/>
  <c r="B331" i="115"/>
  <c r="B332" i="115"/>
  <c r="B333" i="115"/>
  <c r="B334" i="115"/>
  <c r="B335" i="115"/>
  <c r="B336" i="115"/>
  <c r="B337" i="115"/>
  <c r="B338" i="115"/>
  <c r="B339" i="115"/>
  <c r="B340" i="115"/>
  <c r="B273" i="115"/>
  <c r="B274" i="115"/>
  <c r="B280" i="115"/>
  <c r="B312" i="115"/>
  <c r="J268" i="115"/>
  <c r="G509" i="115" s="1"/>
  <c r="B112" i="115"/>
  <c r="B113" i="115"/>
  <c r="B114" i="115"/>
  <c r="B115" i="115"/>
  <c r="B131" i="115"/>
  <c r="B52" i="115"/>
  <c r="B91" i="115"/>
  <c r="B116" i="115"/>
  <c r="B175" i="115"/>
  <c r="B176" i="115"/>
  <c r="B94" i="115"/>
  <c r="B171" i="115"/>
  <c r="B189" i="115"/>
  <c r="B192" i="115"/>
  <c r="B193" i="115"/>
  <c r="B5" i="115"/>
  <c r="B132" i="115"/>
  <c r="B133" i="115"/>
  <c r="B26" i="115"/>
  <c r="B117" i="115"/>
  <c r="B172" i="115"/>
  <c r="B194" i="115"/>
  <c r="B53" i="115"/>
  <c r="B195" i="115"/>
  <c r="B118" i="115"/>
  <c r="B119" i="115"/>
  <c r="B120" i="115"/>
  <c r="B254" i="115"/>
  <c r="B134" i="115"/>
  <c r="B135" i="115"/>
  <c r="B190" i="115"/>
  <c r="B121" i="115"/>
  <c r="B27" i="115"/>
  <c r="B177" i="115"/>
  <c r="B122" i="115"/>
  <c r="B123" i="115"/>
  <c r="B124" i="115"/>
  <c r="B54" i="115"/>
  <c r="B6" i="115"/>
  <c r="B7" i="115"/>
  <c r="B8" i="115"/>
  <c r="B9" i="115"/>
  <c r="B10" i="115"/>
  <c r="B11" i="115"/>
  <c r="B12" i="115"/>
  <c r="B18" i="115"/>
  <c r="B28" i="115"/>
  <c r="B29" i="115"/>
  <c r="B95" i="115"/>
  <c r="B96" i="115"/>
  <c r="B97" i="115"/>
  <c r="B136" i="115"/>
  <c r="B137" i="115"/>
  <c r="B138" i="115"/>
  <c r="B178" i="115"/>
  <c r="B179" i="115"/>
  <c r="B180" i="115"/>
  <c r="B196" i="115"/>
  <c r="B197" i="115"/>
  <c r="B30" i="115"/>
  <c r="B125" i="115"/>
  <c r="B55" i="115"/>
  <c r="B198" i="115"/>
  <c r="B46" i="115"/>
  <c r="B56" i="115"/>
  <c r="B57" i="115"/>
  <c r="B139" i="115"/>
  <c r="B199" i="115"/>
  <c r="B200" i="115"/>
  <c r="B58" i="115"/>
  <c r="B106" i="115"/>
  <c r="B31" i="115"/>
  <c r="B59" i="115"/>
  <c r="B83" i="115"/>
  <c r="B98" i="115"/>
  <c r="B140" i="115"/>
  <c r="B181" i="115"/>
  <c r="B201" i="115"/>
  <c r="B202" i="115"/>
  <c r="B203" i="115"/>
  <c r="B204" i="115"/>
  <c r="B205" i="115"/>
  <c r="B206" i="115"/>
  <c r="B207" i="115"/>
  <c r="B208" i="115"/>
  <c r="B209" i="115"/>
  <c r="B210" i="115"/>
  <c r="B211" i="115"/>
  <c r="B212" i="115"/>
  <c r="B213" i="115"/>
  <c r="B214" i="115"/>
  <c r="B215" i="115"/>
  <c r="B216" i="115"/>
  <c r="B217" i="115"/>
  <c r="B218" i="115"/>
  <c r="B219" i="115"/>
  <c r="B220" i="115"/>
  <c r="B221" i="115"/>
  <c r="B222" i="115"/>
  <c r="B223" i="115"/>
  <c r="B224" i="115"/>
  <c r="B225" i="115"/>
  <c r="B226" i="115"/>
  <c r="B227" i="115"/>
  <c r="B228" i="115"/>
  <c r="B229" i="115"/>
  <c r="B230" i="115"/>
  <c r="B231" i="115"/>
  <c r="B232" i="115"/>
  <c r="B233" i="115"/>
  <c r="B234" i="115"/>
  <c r="B235" i="115"/>
  <c r="B236" i="115"/>
  <c r="B237" i="115"/>
  <c r="B238" i="115"/>
  <c r="B239" i="115"/>
  <c r="B240" i="115"/>
  <c r="B241" i="115"/>
  <c r="B242" i="115"/>
  <c r="B243" i="115"/>
  <c r="B244" i="115"/>
  <c r="B245" i="115"/>
  <c r="B246" i="115"/>
  <c r="B247" i="115"/>
  <c r="B248" i="115"/>
  <c r="B255" i="115"/>
  <c r="B256" i="115"/>
  <c r="B257" i="115"/>
  <c r="B60" i="115"/>
  <c r="B32" i="115"/>
  <c r="B33" i="115"/>
  <c r="B34" i="115"/>
  <c r="B35" i="115"/>
  <c r="B36" i="115"/>
  <c r="B61" i="115"/>
  <c r="B62" i="115"/>
  <c r="B141" i="115"/>
  <c r="B142" i="115"/>
  <c r="B143" i="115"/>
  <c r="B182" i="115"/>
  <c r="B183" i="115"/>
  <c r="B99" i="115"/>
  <c r="B167" i="115"/>
  <c r="B71" i="115"/>
  <c r="B86" i="115"/>
  <c r="B87" i="115"/>
  <c r="B126" i="115"/>
  <c r="B144" i="115"/>
  <c r="B145" i="115"/>
  <c r="B146" i="115"/>
  <c r="B258" i="115"/>
  <c r="B13" i="115"/>
  <c r="B14" i="115"/>
  <c r="B15" i="115"/>
  <c r="B16" i="115"/>
  <c r="B17" i="115"/>
  <c r="B19" i="115"/>
  <c r="B20" i="115"/>
  <c r="B37" i="115"/>
  <c r="B38" i="115"/>
  <c r="B39" i="115"/>
  <c r="B72" i="115"/>
  <c r="B73" i="115"/>
  <c r="B100" i="115"/>
  <c r="B101" i="115"/>
  <c r="B102" i="115"/>
  <c r="B103" i="115"/>
  <c r="B104" i="115"/>
  <c r="B147" i="115"/>
  <c r="B148" i="115"/>
  <c r="B149" i="115"/>
  <c r="B184" i="115"/>
  <c r="B185" i="115"/>
  <c r="B186" i="115"/>
  <c r="B249" i="115"/>
  <c r="B250" i="115"/>
  <c r="B251" i="115"/>
  <c r="B63" i="115"/>
  <c r="B64" i="115"/>
  <c r="B65" i="115"/>
  <c r="B74" i="115"/>
  <c r="B75" i="115"/>
  <c r="B150" i="115"/>
  <c r="B151" i="115"/>
  <c r="B152" i="115"/>
  <c r="B40" i="115"/>
  <c r="B41" i="115"/>
  <c r="B88" i="115"/>
  <c r="B127" i="115"/>
  <c r="B128" i="115"/>
  <c r="B153" i="115"/>
  <c r="B154" i="115"/>
  <c r="B66" i="115"/>
  <c r="B67" i="115"/>
  <c r="B76" i="115"/>
  <c r="B77" i="115"/>
  <c r="B78" i="115"/>
  <c r="B252" i="115"/>
  <c r="B21" i="115"/>
  <c r="B22" i="115"/>
  <c r="B24" i="115"/>
  <c r="B42" i="115"/>
  <c r="B47" i="115"/>
  <c r="B48" i="115"/>
  <c r="B49" i="115"/>
  <c r="B50" i="115"/>
  <c r="B68" i="115"/>
  <c r="B69" i="115"/>
  <c r="B79" i="115"/>
  <c r="B80" i="115"/>
  <c r="B84" i="115"/>
  <c r="B85" i="115"/>
  <c r="B92" i="115"/>
  <c r="B105" i="115"/>
  <c r="B107" i="115"/>
  <c r="B108" i="115"/>
  <c r="B155" i="115"/>
  <c r="B156" i="115"/>
  <c r="B157" i="115"/>
  <c r="B158" i="115"/>
  <c r="B162" i="115"/>
  <c r="B163" i="115"/>
  <c r="B164" i="115"/>
  <c r="B165" i="115"/>
  <c r="B168" i="115"/>
  <c r="B173" i="115"/>
  <c r="B191" i="115"/>
  <c r="B259" i="115"/>
  <c r="B166" i="115"/>
  <c r="B23" i="115"/>
  <c r="B43" i="115"/>
  <c r="B81" i="115"/>
  <c r="B129" i="115"/>
  <c r="B159" i="115"/>
  <c r="B174" i="115"/>
  <c r="B109" i="115"/>
  <c r="B160" i="115"/>
  <c r="B44" i="115"/>
  <c r="B45" i="115"/>
  <c r="B51" i="115"/>
  <c r="B89" i="115"/>
  <c r="B110" i="115"/>
  <c r="B169" i="115"/>
  <c r="B187" i="115"/>
  <c r="B25" i="115"/>
  <c r="B70" i="115"/>
  <c r="B90" i="115"/>
  <c r="B93" i="115"/>
  <c r="B130" i="115"/>
  <c r="B161" i="115"/>
  <c r="B170" i="115"/>
  <c r="B188" i="115"/>
  <c r="B253" i="115"/>
  <c r="B82" i="115"/>
  <c r="B111" i="115"/>
  <c r="K505" i="115"/>
  <c r="K496" i="115"/>
  <c r="J496" i="115"/>
  <c r="K490" i="115"/>
  <c r="J99" i="115"/>
  <c r="G495" i="115" s="1"/>
  <c r="B109" i="116"/>
  <c r="G510" i="115" l="1"/>
  <c r="H510" i="115"/>
  <c r="H511" i="115" s="1"/>
  <c r="J498" i="115"/>
  <c r="J500" i="115" s="1"/>
  <c r="J490" i="115"/>
  <c r="J505" i="115"/>
  <c r="G511" i="115" l="1"/>
  <c r="J507" i="115"/>
  <c r="J509" i="1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tc={F1D39D0B-0162-4B87-9698-334BA8C762F9}</author>
  </authors>
  <commentList>
    <comment ref="K19" authorId="0" shapeId="0" xr:uid="{F1D39D0B-0162-4B87-9698-334BA8C762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VIA PIX PELO SANTANDER DIA 02/01 - VOLTOU NA CONTA E FIZEMOS DIA 05/01 PELO BANCO BTG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<sst xmlns="http://schemas.openxmlformats.org/spreadsheetml/2006/main" count="2777" uniqueCount="411">
  <si>
    <t>ITAÚ</t>
  </si>
  <si>
    <t>Data</t>
  </si>
  <si>
    <t>Descrição</t>
  </si>
  <si>
    <t>Saldo Inicial:</t>
  </si>
  <si>
    <t>ENTRADAS</t>
  </si>
  <si>
    <t>SAÍDAS</t>
  </si>
  <si>
    <t>CHEQUE</t>
  </si>
  <si>
    <t>Saldo Atual:</t>
  </si>
  <si>
    <t>Banco</t>
  </si>
  <si>
    <t>Forma de Pagamento</t>
  </si>
  <si>
    <t>BOLETO</t>
  </si>
  <si>
    <t>DÉBITO AUTOMÁTICO</t>
  </si>
  <si>
    <t>PIX</t>
  </si>
  <si>
    <t>Limite Cheque Especial:</t>
  </si>
  <si>
    <t>Saldo Atual + Limite:</t>
  </si>
  <si>
    <t>DINHEIRO</t>
  </si>
  <si>
    <t>TED</t>
  </si>
  <si>
    <t>APLICAÇÃO</t>
  </si>
  <si>
    <t>CARTÃO DÉBITO</t>
  </si>
  <si>
    <t>CARTÃO CRÉDITO</t>
  </si>
  <si>
    <t>TÍTULO CAPITALIZAÇÃO</t>
  </si>
  <si>
    <t>SAQUE</t>
  </si>
  <si>
    <t>CAPITAL GIRO</t>
  </si>
  <si>
    <t>RENDIMENTO</t>
  </si>
  <si>
    <t>TECNOMONTE</t>
  </si>
  <si>
    <t>SANTANDER</t>
  </si>
  <si>
    <t>Fornecedor</t>
  </si>
  <si>
    <t>BANCO ITAÚ</t>
  </si>
  <si>
    <t>EUROBRAS CONSTRUÇÕES METALICAS MODULADAS</t>
  </si>
  <si>
    <t>Container</t>
  </si>
  <si>
    <t>Materiais</t>
  </si>
  <si>
    <t>Particular</t>
  </si>
  <si>
    <t>VR BENEFICIOS</t>
  </si>
  <si>
    <t xml:space="preserve">FOLHA DE PAGAMENTO </t>
  </si>
  <si>
    <t>Assessoria Financeira</t>
  </si>
  <si>
    <t>ANDRE GUILHERME BARZ - INICIAL COMUNICAÇÃO</t>
  </si>
  <si>
    <t>GRF - GUIA DE RECOLHIMENTO DO FGTS</t>
  </si>
  <si>
    <t>Fgts</t>
  </si>
  <si>
    <t xml:space="preserve">Cartão Alimentação </t>
  </si>
  <si>
    <t>BANCO DAYCOVAL</t>
  </si>
  <si>
    <t>Ferramentas</t>
  </si>
  <si>
    <t>Refeição</t>
  </si>
  <si>
    <t/>
  </si>
  <si>
    <t>Alojamento</t>
  </si>
  <si>
    <t>Centro de Custo</t>
  </si>
  <si>
    <t>ANDREIA UPENECK - PARTICULAR</t>
  </si>
  <si>
    <t>SMALL (CAMPO GRANDE)</t>
  </si>
  <si>
    <t>SMALL (FATIMA DO SUL)</t>
  </si>
  <si>
    <t>SMALL (PRESIDENTE PRUDENTE)</t>
  </si>
  <si>
    <t>TOTAL</t>
  </si>
  <si>
    <t>YARA (CUBATÃO)</t>
  </si>
  <si>
    <t>CESARI (CUBATÃO)</t>
  </si>
  <si>
    <t>MATRIZ (PAULÍNIA)</t>
  </si>
  <si>
    <t>ALDEVI NOGUEIRA COUTINHO</t>
  </si>
  <si>
    <t>Sindicato</t>
  </si>
  <si>
    <t>Diferença de Salário</t>
  </si>
  <si>
    <t>Piscina</t>
  </si>
  <si>
    <t xml:space="preserve">BANCO SANTANDER </t>
  </si>
  <si>
    <t>CONDOMÍNIO RESIDENCIAL RESERVA JOÃO ARANHA</t>
  </si>
  <si>
    <t>SANTOS CONTAINER</t>
  </si>
  <si>
    <t>CONTABNEW ASSESSORIA CONTÁBIL, FISCAL E TRABALHISTA</t>
  </si>
  <si>
    <t>Marketing</t>
  </si>
  <si>
    <t>Mensal</t>
  </si>
  <si>
    <t>ANDREIA UPENECK</t>
  </si>
  <si>
    <t>Retirada</t>
  </si>
  <si>
    <t>SEM PARAR</t>
  </si>
  <si>
    <t>Pedágio</t>
  </si>
  <si>
    <t>RESCISÃO DO CONTRATO DE TRABALHO</t>
  </si>
  <si>
    <t>GRRF - GUIA DE RECOLHIMENTO RESCISÓRIO DO FGTS</t>
  </si>
  <si>
    <t>CPFL CIA PAULISTA DE FORÇA E LUZ</t>
  </si>
  <si>
    <t>DESKTOP INTERNET SERVICES</t>
  </si>
  <si>
    <t>BANCO VOLKSWAGEN S.A</t>
  </si>
  <si>
    <t>Internet: Argeo Piva, 683 (Nº Contrato: 301170 - Senha: 658674)</t>
  </si>
  <si>
    <t>Caminhão</t>
  </si>
  <si>
    <t>REAL NEGOCIOS IMOBILIARIOS</t>
  </si>
  <si>
    <t>Darf</t>
  </si>
  <si>
    <t>Munck</t>
  </si>
  <si>
    <t>Rua Argeo Piva, 683 Casa 05 - CEP: 13140-762</t>
  </si>
  <si>
    <t>VALE TRANSPORTE</t>
  </si>
  <si>
    <t>Passagem</t>
  </si>
  <si>
    <t>BIBBIANA BERTOLACCINI VASCONCELOS</t>
  </si>
  <si>
    <t xml:space="preserve">Trabalhista, Fiscal e Contratos </t>
  </si>
  <si>
    <t>BRADESCO SEGUROS</t>
  </si>
  <si>
    <t>TOKIO MARINE SEGURADORA S A</t>
  </si>
  <si>
    <t>Exames Médico</t>
  </si>
  <si>
    <t>Seguro de Vida</t>
  </si>
  <si>
    <t>Bloqueio Judicial</t>
  </si>
  <si>
    <t>Caixa Obra</t>
  </si>
  <si>
    <t>FORTI RENTAL LOCACAO DE MAQUINAS E EQUIPAMENTOS - TRANSMUNCK</t>
  </si>
  <si>
    <t>Emprestimo</t>
  </si>
  <si>
    <t>Reembolso</t>
  </si>
  <si>
    <t>EPP CONSUTORIA - EDUARDO PINHEIRO</t>
  </si>
  <si>
    <t>Frete</t>
  </si>
  <si>
    <t>EPI</t>
  </si>
  <si>
    <t>Projeto</t>
  </si>
  <si>
    <t>NR's</t>
  </si>
  <si>
    <t>ART</t>
  </si>
  <si>
    <t>ALEXANDRA MARIA DA SILVA</t>
  </si>
  <si>
    <t>BANCO SANTANDER</t>
  </si>
  <si>
    <t>Ajuda de Custo</t>
  </si>
  <si>
    <t>YARA (HUB)</t>
  </si>
  <si>
    <t>Internet</t>
  </si>
  <si>
    <t>MECÂNICA (PAULÍNIA)</t>
  </si>
  <si>
    <t>Despesa de Viagem</t>
  </si>
  <si>
    <t>DESPACHANTE SANTO ANTONIO</t>
  </si>
  <si>
    <t>Consumíveis</t>
  </si>
  <si>
    <t>Imposto</t>
  </si>
  <si>
    <t>Calandra</t>
  </si>
  <si>
    <t>Empréstimo</t>
  </si>
  <si>
    <t>Cartão Crédito</t>
  </si>
  <si>
    <t>RECIBO DE FÉRIAS</t>
  </si>
  <si>
    <t>Locação de Equipamentos</t>
  </si>
  <si>
    <t>TRIBUNAL REGIONAL DO TRABALHO</t>
  </si>
  <si>
    <t>INPASA (SINOP)</t>
  </si>
  <si>
    <t>Documentação</t>
  </si>
  <si>
    <t>ITAÚ MATRIZ</t>
  </si>
  <si>
    <t>ITAÚ FILIAL</t>
  </si>
  <si>
    <t>AGEO</t>
  </si>
  <si>
    <t>DAYCOVAL</t>
  </si>
  <si>
    <t>TRANSFERÊNCIA ENTRE CONTAS</t>
  </si>
  <si>
    <t>SAFRA</t>
  </si>
  <si>
    <t>Água</t>
  </si>
  <si>
    <t>Aluguel</t>
  </si>
  <si>
    <t>Certificados</t>
  </si>
  <si>
    <t>Combustível</t>
  </si>
  <si>
    <t>Condomínio</t>
  </si>
  <si>
    <t xml:space="preserve">Consórcio </t>
  </si>
  <si>
    <t>Contabilidade</t>
  </si>
  <si>
    <t>Energia Elétrica</t>
  </si>
  <si>
    <t>Folha de Pagamento</t>
  </si>
  <si>
    <t>Hospedagem</t>
  </si>
  <si>
    <t>Jurídico</t>
  </si>
  <si>
    <t>Juros</t>
  </si>
  <si>
    <t>Locação de Equipamento</t>
  </si>
  <si>
    <t>Mão de Obra</t>
  </si>
  <si>
    <t>Mecânico</t>
  </si>
  <si>
    <t>Multa 40%</t>
  </si>
  <si>
    <t>Outros</t>
  </si>
  <si>
    <t>Prestação de Serviço</t>
  </si>
  <si>
    <t>Processo Trabalhista</t>
  </si>
  <si>
    <t>Rescisão</t>
  </si>
  <si>
    <t>Seguro</t>
  </si>
  <si>
    <t>Sistema</t>
  </si>
  <si>
    <t>Tarifas</t>
  </si>
  <si>
    <t>Telefone</t>
  </si>
  <si>
    <t>Vale Transporte</t>
  </si>
  <si>
    <t>Vale Alimentação</t>
  </si>
  <si>
    <t>Aplicação</t>
  </si>
  <si>
    <t>Transferência entre Contas</t>
  </si>
  <si>
    <t>Máquinas e Equipamentos</t>
  </si>
  <si>
    <t>Férias</t>
  </si>
  <si>
    <t>Antecipação de NF</t>
  </si>
  <si>
    <t>Obras</t>
  </si>
  <si>
    <t>Recebimento de Nota</t>
  </si>
  <si>
    <t>ITAÚ - MATRIZ (CG)</t>
  </si>
  <si>
    <t>ITAÚ - FILIAL (CG)</t>
  </si>
  <si>
    <t>DAYCOVAL (CG)</t>
  </si>
  <si>
    <t>OPERAÇÕES (ANDREIA)</t>
  </si>
  <si>
    <t>PAGAMENTOS (ANDREIA)</t>
  </si>
  <si>
    <t>SMALL (CUIABÁ)</t>
  </si>
  <si>
    <t>Crachás</t>
  </si>
  <si>
    <t>Jamilson Gonçalves de Sousa</t>
  </si>
  <si>
    <t>BANCO SAFRA</t>
  </si>
  <si>
    <t>ANTECIPAÇÃO DE NF</t>
  </si>
  <si>
    <t>Serviços Prestados</t>
  </si>
  <si>
    <t>Despesa de Transporte</t>
  </si>
  <si>
    <t>NERI E NERI - CANTINA  LTDA - ME</t>
  </si>
  <si>
    <t xml:space="preserve">ALEXANDRE MARCATO - ADTECH ENERGIA </t>
  </si>
  <si>
    <t>INPASA (SIDRÔLANDIA)</t>
  </si>
  <si>
    <t>DAIANE DOS SANTOS LIMA</t>
  </si>
  <si>
    <t>TECNOMIL - DANILO BIGNARDI</t>
  </si>
  <si>
    <t>Despesas de Veículos</t>
  </si>
  <si>
    <t>GENCONS TERRASSOS EMP. IMOB. LTDA</t>
  </si>
  <si>
    <t>Lote H-20 - (Condomínio Terrassos)</t>
  </si>
  <si>
    <t>Lote H-21 - (Condomínio Terrassos)</t>
  </si>
  <si>
    <t>Manutenção Ar Condicionado</t>
  </si>
  <si>
    <t>SMALL (FATIMA DO SUL) 2</t>
  </si>
  <si>
    <t>CARTÃO DE CRÉDITO</t>
  </si>
  <si>
    <t>SERASA EXPERIAN</t>
  </si>
  <si>
    <t>FIBRA ADMINISTRAÇÃO DE BENS E SERVIÇOS</t>
  </si>
  <si>
    <t>BJ TRR (PIEDADE)</t>
  </si>
  <si>
    <t>Sergio Eduardo Luiz Silva</t>
  </si>
  <si>
    <t>Manoel Josias da Silva</t>
  </si>
  <si>
    <t>CONSELHO REG. DE ENGENHARIA E AGRONO</t>
  </si>
  <si>
    <t xml:space="preserve">DJENANE KELLY OLIVEIRA HOPPE DE GOES - FRANCISCO OTO FERREIRA </t>
  </si>
  <si>
    <t>IDENTIFICAR</t>
  </si>
  <si>
    <t>ATTUAL IMÓVEIS INCORPORADORA LTDA - ELISEU PEREIRA MATIAS</t>
  </si>
  <si>
    <t>Escritório - Avenida Pio XII, 33 - Sala 03 - Paulínia/SP</t>
  </si>
  <si>
    <t>Rerisson Ferreira Barreto da Silva</t>
  </si>
  <si>
    <t>Passagem - Ajuda de Custo</t>
  </si>
  <si>
    <t>Andre Luiz Brancovan</t>
  </si>
  <si>
    <t>Refinanciamento - (R$ 436.800,00)</t>
  </si>
  <si>
    <t>Refinanciamento - (R$ 279.568,70)</t>
  </si>
  <si>
    <t>FABIO TAVARES BEZERRA</t>
  </si>
  <si>
    <t>FERNANDO FEITOSA SANTIAGO</t>
  </si>
  <si>
    <t>DR DO BEM SERV ADMINISTRATIVOS</t>
  </si>
  <si>
    <t>Parcelamento Matriz</t>
  </si>
  <si>
    <t>AUTORIDADE PORTUARIA DE SANTOS</t>
  </si>
  <si>
    <t>BLOQUEIO JUDICIAL</t>
  </si>
  <si>
    <t>ROSEMARY PIZZINI SOARES - VICTOR TOBAR SOARES</t>
  </si>
  <si>
    <t>AGEO BACIA 10</t>
  </si>
  <si>
    <t>PRO3D TECNOLOGIA E SERVIÇOS LTDA</t>
  </si>
  <si>
    <t>DOCUMENTO DE ARRECADAÇÃO DE RECEITAS FEDERAIS - DARF</t>
  </si>
  <si>
    <t>Serviços Prestados - Acordo</t>
  </si>
  <si>
    <t>Honorários Acordo</t>
  </si>
  <si>
    <t>AGEO TRAVESSIA</t>
  </si>
  <si>
    <t>REEMBOLSO</t>
  </si>
  <si>
    <t>STI DA CONSTRUÇÃO E DO IMOBILIARIO DE SANTOS</t>
  </si>
  <si>
    <t>BIGNET</t>
  </si>
  <si>
    <t>Condomínio Apto - Rua: Laurindo A. de Moura, 112 Ap 22 C - Jd Leonor - CEP: 13145-282</t>
  </si>
  <si>
    <t>AGEO ESTIRENO</t>
  </si>
  <si>
    <t>Escritório  Santos - (Sala 18)</t>
  </si>
  <si>
    <t>Escritório  Santos - (Sala 15)</t>
  </si>
  <si>
    <t>Escritório Santos - (Sala 18)</t>
  </si>
  <si>
    <t>Escritório Santos - (Sala 15)</t>
  </si>
  <si>
    <t>Parcelamento Matriz (Cheque Especial) - SOB MEDIDA EMP EM ATRASO</t>
  </si>
  <si>
    <t>JATEAMENTO E PINTURA LTDA</t>
  </si>
  <si>
    <t>Jato</t>
  </si>
  <si>
    <t>Cartão de Crédito  - GIROCOMP CARTAO</t>
  </si>
  <si>
    <t>ANNE CAROLINE FOGACA DA SILVA</t>
  </si>
  <si>
    <t>Josenildo Goes de Souza - Pensão Alimentícia</t>
  </si>
  <si>
    <t>HAYSLAN RYQUELME DOS SANTOS JESUS</t>
  </si>
  <si>
    <t>TARIFAS</t>
  </si>
  <si>
    <t>Fgts Décimo Terceiro</t>
  </si>
  <si>
    <t>JUCELIO FERREIRA DE LUNA</t>
  </si>
  <si>
    <t>LEIDYANE FREITAS DA SILVA</t>
  </si>
  <si>
    <t>Paulo Cesar Costa Silva - Pensão Alimentícia</t>
  </si>
  <si>
    <t>EMILY FERNANDA DOS SANTOS SILVA</t>
  </si>
  <si>
    <t>Eric dos Santos Silva - Pensão Alimentícia</t>
  </si>
  <si>
    <t>BEATRIZ NUNES DOS SANTOS</t>
  </si>
  <si>
    <t xml:space="preserve"> Matheus Henrique de Lira Barbosa - Pensão Alimentícia</t>
  </si>
  <si>
    <t>BRADESCO - MONTTEC</t>
  </si>
  <si>
    <t>ROSIEL SOUZA DOS SANTOS</t>
  </si>
  <si>
    <t>SANTANDER - MONTTEC</t>
  </si>
  <si>
    <t>BTG</t>
  </si>
  <si>
    <t>BANCO BTG</t>
  </si>
  <si>
    <t>EDEMILSON DE OLIVEIRA JACULI</t>
  </si>
  <si>
    <t>TECNOPONTO TEC. AVANÇADA EM CONTROLE DE PONTO DE ACESSO</t>
  </si>
  <si>
    <t>Relógio Ponto</t>
  </si>
  <si>
    <t>Processo nº 1112184-33.2024.8.26.0100 
Ação Monitória</t>
  </si>
  <si>
    <t xml:space="preserve">Processo nº 1107590-73.2024.8.26.0100 </t>
  </si>
  <si>
    <t>DIGESTO - COBRANÇA</t>
  </si>
  <si>
    <t>Processo nº 1106702-07.2024.8.26.0100</t>
  </si>
  <si>
    <t>DAIANE ASSIS DA CRUZ DUARTE</t>
  </si>
  <si>
    <t>BLOQUEIO</t>
  </si>
  <si>
    <t>ANTONIO NUNES DE MOURA</t>
  </si>
  <si>
    <t>JOSE MANOEL DE LIMA</t>
  </si>
  <si>
    <t>RAUL DA SILVA SANTOS</t>
  </si>
  <si>
    <t>ALBERTO BARBOSA DOS SANTOS FILHO</t>
  </si>
  <si>
    <t>Rafael Massano Marano</t>
  </si>
  <si>
    <t>CENTRAL FERRAMENTAS LTDA - AZULÃO PARAFUSOS E FERRAMENTAS LTDA</t>
  </si>
  <si>
    <t>Dívida Ativa</t>
  </si>
  <si>
    <t>Velar e Caminhão</t>
  </si>
  <si>
    <t>Defender (Diferença)</t>
  </si>
  <si>
    <t>CHEQUE SANTANDER</t>
  </si>
  <si>
    <t>EDSON JOSE DA SILVA</t>
  </si>
  <si>
    <t>ANDERSON SANTOS ALBERTO</t>
  </si>
  <si>
    <t>JOSUEL EVANGELISTA DOS SANTOS</t>
  </si>
  <si>
    <t>IRAN GUEDES LOURENÇO JUNIOR</t>
  </si>
  <si>
    <t>ANDRE DE MOURA NASCIMENTO</t>
  </si>
  <si>
    <t>JOSE EDUARDO LIMA DE SANTANA</t>
  </si>
  <si>
    <t>ANTONIO EDUARDO DOS SANTOS</t>
  </si>
  <si>
    <t>ALYSSON DE OLIVEIRA RODRIGUES BARBARA</t>
  </si>
  <si>
    <t>MAURO SANTANA DA CONCEIÇÃO</t>
  </si>
  <si>
    <t>ADILSON CANDIDO LAURO</t>
  </si>
  <si>
    <t>GUSTAVO FABRICIO DA SILVA OLIVEIRA</t>
  </si>
  <si>
    <t>JUAN MULLER DOS SANTOS</t>
  </si>
  <si>
    <t>ROBERT RODRIGO DA SILVA</t>
  </si>
  <si>
    <t>CHEQUE SANTANDER - PAGO VIA PIX</t>
  </si>
  <si>
    <t>ROLAMENTOS CBF LTDA</t>
  </si>
  <si>
    <t>DANIEL TEIXEIRA DOS SANTOS</t>
  </si>
  <si>
    <t>UBIRAJARA FELIX DA SILVA</t>
  </si>
  <si>
    <t>JESSE WILLIAM DA SILVA</t>
  </si>
  <si>
    <t>LUIZ RENAN CONCEIÇÃO DE JESUS</t>
  </si>
  <si>
    <t>CARLOS HENRIQUE AUGUSTO DOS SANTOS</t>
  </si>
  <si>
    <t xml:space="preserve">AUTO ELETRICA E PEÇAS VIADUTO </t>
  </si>
  <si>
    <t>DOUGLAS GOMES ARAUJO</t>
  </si>
  <si>
    <t>JONATHAN HILARIO LIMA</t>
  </si>
  <si>
    <t>NICOLAS SILVEIRA SOUSA</t>
  </si>
  <si>
    <t xml:space="preserve">ANDERSON SANTOS ALBERTO </t>
  </si>
  <si>
    <t>MARCELO MARTINS DE LO SANTOS</t>
  </si>
  <si>
    <t>MARCELO HONORATO DOS SANTOS</t>
  </si>
  <si>
    <t xml:space="preserve">MATHEUS HENRIQUE DE LIRA BARBOSA </t>
  </si>
  <si>
    <t xml:space="preserve">LUIZ EDUARDO DE OLIVEIRA HENRIQUE </t>
  </si>
  <si>
    <t>JOEL MARQUES DA CRUZ</t>
  </si>
  <si>
    <t>VITOR SANTOS DA SILVA</t>
  </si>
  <si>
    <t>VEDAMAR</t>
  </si>
  <si>
    <t>CLARO</t>
  </si>
  <si>
    <t>CELULAR</t>
  </si>
  <si>
    <t>GOVERNO DO ESTADO DE SÃO PAULO</t>
  </si>
  <si>
    <t>RENATO CORREIA GUIMARÃES</t>
  </si>
  <si>
    <t>JOSE IDELVANIO ALEXANDRE</t>
  </si>
  <si>
    <t>HELDER DE SOUSA COSTA</t>
  </si>
  <si>
    <t>AGEO HH</t>
  </si>
  <si>
    <t>CLAUDIO MAXIMO DA SILVA</t>
  </si>
  <si>
    <t>EVERTON TRIGO SENA</t>
  </si>
  <si>
    <t>CERTIDÃO CARTÓRIO</t>
  </si>
  <si>
    <t>CENPROT SP - CENTRAL DE PROTESTOS</t>
  </si>
  <si>
    <t>JOSE GOMES DE SOUSA</t>
  </si>
  <si>
    <t>NATHAN SANTOS DE OLIVEIRA</t>
  </si>
  <si>
    <t>Rescisões</t>
  </si>
  <si>
    <t>Tarifas Bancárias</t>
  </si>
  <si>
    <t>RAPHAEL PUPO GONÇALES FONSECA</t>
  </si>
  <si>
    <t>DIOGO MARX MOREIRA</t>
  </si>
  <si>
    <t>GABRIEL GONÇALES SALDANHA FONSECA</t>
  </si>
  <si>
    <t>Novo Relógio Ponto</t>
  </si>
  <si>
    <t>Categoria</t>
  </si>
  <si>
    <t>Subcategoria</t>
  </si>
  <si>
    <t>Salários</t>
  </si>
  <si>
    <t>Pensão Alimentícia</t>
  </si>
  <si>
    <t>PESSOAL</t>
  </si>
  <si>
    <t>ENCARGOS TRABALHISTAS</t>
  </si>
  <si>
    <t>GRRF - Multa 40%</t>
  </si>
  <si>
    <t>OPERACIONAL</t>
  </si>
  <si>
    <t>JURÍDICO</t>
  </si>
  <si>
    <t>Seguro de Veículos</t>
  </si>
  <si>
    <t>Seguro de Vida - Funcionários</t>
  </si>
  <si>
    <t>ADMINISTRATIVO</t>
  </si>
  <si>
    <t>Aluguel Escritório</t>
  </si>
  <si>
    <t>Treinamentos / Certificações</t>
  </si>
  <si>
    <t>Sistema de Ponto - Controle de Jornada</t>
  </si>
  <si>
    <t>INVESTIMENTO / ATIVO</t>
  </si>
  <si>
    <t>Equipamentos - Relógio de Ponto</t>
  </si>
  <si>
    <t>Certidões / Cartório</t>
  </si>
  <si>
    <t>FINANCEIRO</t>
  </si>
  <si>
    <t>Refinanciamentos</t>
  </si>
  <si>
    <t>Consultas</t>
  </si>
  <si>
    <t>IPVA e Licenciamento de Veículos</t>
  </si>
  <si>
    <t>TRIBUTÁRIO</t>
  </si>
  <si>
    <t>Parcelamento - Imposto em Atraso / Dívida Ativa</t>
  </si>
  <si>
    <t>Parcelamento - INSS Patronal / INSS Funcionários</t>
  </si>
  <si>
    <t>Honorários Jurídicos - Mensal</t>
  </si>
  <si>
    <t>Contribuição Sindical / Assistencial</t>
  </si>
  <si>
    <t>ART / Taxas de Engenharia (CREA)</t>
  </si>
  <si>
    <t>Manutenção Predial</t>
  </si>
  <si>
    <t>Fretes / Transportes de Materiais</t>
  </si>
  <si>
    <t>Sistemas Jurídicos / Consulta Processual</t>
  </si>
  <si>
    <t>Marketing e Publicidade</t>
  </si>
  <si>
    <t>Projetos de Obra</t>
  </si>
  <si>
    <t>MOVIMENTAÇÃO FINANCEIRA</t>
  </si>
  <si>
    <t>Reembolsos</t>
  </si>
  <si>
    <t>Aporte de Sócia / Empréstimo da Sócia</t>
  </si>
  <si>
    <t>Retirada de Sócia - Despesas Particulares</t>
  </si>
  <si>
    <t>Desbloqueio Judicial</t>
  </si>
  <si>
    <t>Rendimentos Financeiros</t>
  </si>
  <si>
    <t>Alimentação da Obra / Refeição Operacional</t>
  </si>
  <si>
    <t>Processos Trabalhistas - Encargos Legais</t>
  </si>
  <si>
    <t>SANTANDER BRASIL ADMINISTRADORA DE CONSORCIO LTDA</t>
  </si>
  <si>
    <t>Pagamento de Salários</t>
  </si>
  <si>
    <t>Adiantamento de Salários - Vale</t>
  </si>
  <si>
    <t>Hospedagem de Funcionários</t>
  </si>
  <si>
    <t>Acordos / Passivos Antigos de Fornecedores</t>
  </si>
  <si>
    <t>Aquisição de Veículos</t>
  </si>
  <si>
    <t>Resgate / Recebimento de Consórcio</t>
  </si>
  <si>
    <t>Consórcio Santander</t>
  </si>
  <si>
    <t>EDESIO DE ARAGÃO DIAS FILHO</t>
  </si>
  <si>
    <t xml:space="preserve">JOEL PEREIRA DE ABREU </t>
  </si>
  <si>
    <t>MOVIMENTAÇÃO BANCÁRIA - 2026</t>
  </si>
  <si>
    <t>Mês</t>
  </si>
  <si>
    <t>02/2026</t>
  </si>
  <si>
    <t>Processos Trabalhistas</t>
  </si>
  <si>
    <t>Serviços / Consultorias</t>
  </si>
  <si>
    <t>AGEO - GERAL</t>
  </si>
  <si>
    <t>AGEO - BACIA 10</t>
  </si>
  <si>
    <t>AGEO - HH</t>
  </si>
  <si>
    <t>ANDRÉIA - PARTICULAR</t>
  </si>
  <si>
    <t>BJ TRR - PIEDADE</t>
  </si>
  <si>
    <t>CESARI - CUBATÃO</t>
  </si>
  <si>
    <t>INPASA - SIDRÔLANDIA</t>
  </si>
  <si>
    <t>ESCRITÓRIO - PAULÍNIA</t>
  </si>
  <si>
    <t>SMALL - CAMPO GRANDE</t>
  </si>
  <si>
    <t>SMALL - PRESIDENTE PRUDENTE</t>
  </si>
  <si>
    <t>YARA - CUBATÃO</t>
  </si>
  <si>
    <t>SMALL - FATIMA DO SUL</t>
  </si>
  <si>
    <t>INPASA - SINOP</t>
  </si>
  <si>
    <t>ALEXSANDER FELIPE BEZERRA DE ALMEIDA</t>
  </si>
  <si>
    <t>CRISTINA PEREIRA DA SILVA</t>
  </si>
  <si>
    <t>Limpeza / Conservação</t>
  </si>
  <si>
    <t>Limpeza</t>
  </si>
  <si>
    <t>EDWILSON FERREIRA BATISTA</t>
  </si>
  <si>
    <t>ARIOSVALDO SILVA SALES</t>
  </si>
  <si>
    <t>LUIZ DE SOUZA SIDRÃO</t>
  </si>
  <si>
    <t>DENIS BRYAN DANTAS GODINHO</t>
  </si>
  <si>
    <t>ADILSON CANDIDO LAURO - PAGAMENTO INDEVIDO</t>
  </si>
  <si>
    <t>RICARDO DINIZ</t>
  </si>
  <si>
    <t>CHRISTIANO GRASSI CAMARGO</t>
  </si>
  <si>
    <t>Serviços Jurídicos</t>
  </si>
  <si>
    <t>Honorários periciais</t>
  </si>
  <si>
    <t>Relógio Ponto - Mensalidade</t>
  </si>
  <si>
    <t>ALEXSANDRO JOSE DE LIMA SANTANA</t>
  </si>
  <si>
    <t>Juliana Tamires Fernandes</t>
  </si>
  <si>
    <t>AGATHA CRISTINNY SANTOS DA SILVA</t>
  </si>
  <si>
    <t>LUCIVANIO ARAUJO DA SILVA</t>
  </si>
  <si>
    <t>AGUARDANDO</t>
  </si>
  <si>
    <t>Jailson Coelho da Rocha</t>
  </si>
  <si>
    <t>Honorários - Jailson Coelho da Rocha</t>
  </si>
  <si>
    <t>VANDERSON APARECIDO LIMA FRANCA</t>
  </si>
  <si>
    <t>PEFISA INDUSTRIA METALURGICA E COMERCIO</t>
  </si>
  <si>
    <t>PRÊMIO - PLR</t>
  </si>
  <si>
    <t>Participação nos Lucros / PLR</t>
  </si>
  <si>
    <t>PLR</t>
  </si>
  <si>
    <t xml:space="preserve">LOCAMINAS LOCAÇÃO DE MAQUINAS E EQUIPAMENTOS </t>
  </si>
  <si>
    <t>Adiantamento de Salários - Vale (POR FORA)</t>
  </si>
  <si>
    <t xml:space="preserve">BRUNO GARCIA MORAIS </t>
  </si>
  <si>
    <t>Manutenção de Veículos</t>
  </si>
  <si>
    <t>Manutenção FORD KA - (Veículo Bruno)</t>
  </si>
  <si>
    <t>APLICAÇÃO FINANCEIRA</t>
  </si>
  <si>
    <t>Rendimento Bancário</t>
  </si>
  <si>
    <t>ESCRITÓRIO - SANTOS</t>
  </si>
  <si>
    <t>ISLANILSON HAELLON DE JESUS</t>
  </si>
  <si>
    <t>LUIS PHILLIPE GOMES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</si>
</sst>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6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8"/>
      <color theme="0"/>
      <name val="Arial"/>
      <family val="2"/>
    </font>
    <font>
      <sz val="8"/>
      <color theme="1"/>
      <name val="Arial"/>
      <family val="2"/>
    </font>
    <font>
      <b/>
      <sz val="18"/>
      <color rgb="FF00FF00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9"/>
      <color rgb="FF0000FF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10"/>
      <color rgb="FF0000FF"/>
      <name val="Calibri"/>
      <family val="2"/>
    </font>
    <font>
      <b/>
      <sz val="10"/>
      <color rgb="FF0000FF"/>
      <name val="Calibri"/>
      <family val="2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rgb="FF0000FF"/>
      <name val="Calibri"/>
      <family val="2"/>
    </font>
    <font>
      <b/>
      <sz val="9"/>
      <color rgb="FFFF0000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6"/>
      <color rgb="FF0000CC"/>
      <name val="Calibri"/>
      <family val="2"/>
    </font>
    <font>
      <sz val="6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rgb="FF0000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0" fontId="33" fillId="0" borderId="0"/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/>
    </xf>
    <xf numFmtId="44" fontId="7" fillId="5" borderId="1" xfId="0" applyNumberFormat="1" applyFont="1" applyFill="1" applyBorder="1" applyAlignment="1">
      <alignment horizontal="center" vertical="center"/>
    </xf>
    <xf numFmtId="44" fontId="8" fillId="5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horizontal="right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" fontId="15" fillId="0" borderId="0" xfId="0" applyNumberFormat="1" applyFont="1" applyAlignment="1">
      <alignment horizontal="right" vertical="center"/>
    </xf>
    <xf numFmtId="4" fontId="13" fillId="8" borderId="15" xfId="0" applyNumberFormat="1" applyFont="1" applyFill="1" applyBorder="1" applyAlignment="1">
      <alignment horizontal="center" vertical="center"/>
    </xf>
    <xf numFmtId="4" fontId="13" fillId="6" borderId="16" xfId="0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44" fontId="16" fillId="7" borderId="1" xfId="0" applyNumberFormat="1" applyFont="1" applyFill="1" applyBorder="1" applyAlignment="1">
      <alignment horizontal="center" vertical="center" wrapText="1"/>
    </xf>
    <xf numFmtId="44" fontId="16" fillId="7" borderId="1" xfId="0" applyNumberFormat="1" applyFont="1" applyFill="1" applyBorder="1" applyAlignment="1">
      <alignment horizontal="center" vertical="center"/>
    </xf>
    <xf numFmtId="44" fontId="17" fillId="7" borderId="1" xfId="0" applyNumberFormat="1" applyFont="1" applyFill="1" applyBorder="1" applyAlignment="1">
      <alignment horizontal="center" vertical="center"/>
    </xf>
    <xf numFmtId="44" fontId="17" fillId="7" borderId="1" xfId="0" applyNumberFormat="1" applyFont="1" applyFill="1" applyBorder="1" applyAlignment="1">
      <alignment horizontal="center" vertical="center" wrapText="1"/>
    </xf>
    <xf numFmtId="0" fontId="0" fillId="4" borderId="2" xfId="0" quotePrefix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44" fontId="22" fillId="0" borderId="26" xfId="0" applyNumberFormat="1" applyFont="1" applyBorder="1" applyAlignment="1">
      <alignment horizontal="center" vertical="center"/>
    </xf>
    <xf numFmtId="44" fontId="22" fillId="0" borderId="0" xfId="0" applyNumberFormat="1" applyFont="1" applyAlignment="1">
      <alignment horizontal="center" vertical="center"/>
    </xf>
    <xf numFmtId="44" fontId="2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44" fontId="28" fillId="10" borderId="23" xfId="0" applyNumberFormat="1" applyFont="1" applyFill="1" applyBorder="1" applyAlignment="1">
      <alignment horizontal="center" vertical="center"/>
    </xf>
    <xf numFmtId="44" fontId="29" fillId="3" borderId="5" xfId="0" applyNumberFormat="1" applyFont="1" applyFill="1" applyBorder="1" applyAlignment="1">
      <alignment horizontal="center" vertical="center"/>
    </xf>
    <xf numFmtId="44" fontId="30" fillId="3" borderId="2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44" fontId="27" fillId="10" borderId="0" xfId="0" applyNumberFormat="1" applyFont="1" applyFill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44" fontId="20" fillId="7" borderId="21" xfId="0" applyNumberFormat="1" applyFont="1" applyFill="1" applyBorder="1" applyAlignment="1">
      <alignment horizontal="center" vertical="center"/>
    </xf>
    <xf numFmtId="44" fontId="20" fillId="7" borderId="2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right" vertical="center"/>
    </xf>
    <xf numFmtId="2" fontId="32" fillId="0" borderId="0" xfId="0" applyNumberFormat="1" applyFont="1" applyAlignment="1">
      <alignment horizontal="right" vertical="center"/>
    </xf>
    <xf numFmtId="44" fontId="0" fillId="0" borderId="0" xfId="0" applyNumberFormat="1"/>
    <xf numFmtId="0" fontId="25" fillId="3" borderId="5" xfId="0" applyFont="1" applyFill="1" applyBorder="1" applyAlignment="1">
      <alignment horizontal="center" vertical="center"/>
    </xf>
    <xf numFmtId="0" fontId="26" fillId="10" borderId="0" xfId="0" applyFont="1" applyFill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7" borderId="1" xfId="3" applyNumberFormat="1" applyFont="1" applyFill="1" applyBorder="1" applyAlignment="1">
      <alignment horizontal="center" vertical="center"/>
    </xf>
    <xf numFmtId="2" fontId="0" fillId="0" borderId="0" xfId="0" applyNumberFormat="1"/>
    <xf numFmtId="14" fontId="4" fillId="10" borderId="1" xfId="3" applyNumberFormat="1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4" fillId="10" borderId="27" xfId="0" applyFont="1" applyFill="1" applyBorder="1" applyAlignment="1">
      <alignment horizontal="center" vertical="center" wrapText="1"/>
    </xf>
    <xf numFmtId="44" fontId="17" fillId="10" borderId="1" xfId="0" applyNumberFormat="1" applyFont="1" applyFill="1" applyBorder="1" applyAlignment="1">
      <alignment horizontal="center" vertical="center"/>
    </xf>
    <xf numFmtId="44" fontId="16" fillId="10" borderId="1" xfId="0" applyNumberFormat="1" applyFont="1" applyFill="1" applyBorder="1" applyAlignment="1">
      <alignment horizontal="center" vertical="center"/>
    </xf>
    <xf numFmtId="44" fontId="17" fillId="10" borderId="1" xfId="0" applyNumberFormat="1" applyFont="1" applyFill="1" applyBorder="1" applyAlignment="1">
      <alignment horizontal="center" vertical="center" wrapText="1"/>
    </xf>
    <xf numFmtId="44" fontId="16" fillId="10" borderId="1" xfId="0" applyNumberFormat="1" applyFont="1" applyFill="1" applyBorder="1" applyAlignment="1">
      <alignment horizontal="center" vertical="center" wrapText="1"/>
    </xf>
    <xf numFmtId="44" fontId="35" fillId="10" borderId="1" xfId="0" applyNumberFormat="1" applyFont="1" applyFill="1" applyBorder="1" applyAlignment="1">
      <alignment horizontal="center" vertical="center" wrapText="1"/>
    </xf>
    <xf numFmtId="44" fontId="35" fillId="10" borderId="1" xfId="0" applyNumberFormat="1" applyFont="1" applyFill="1" applyBorder="1" applyAlignment="1">
      <alignment horizontal="center" vertical="center"/>
    </xf>
    <xf numFmtId="0" fontId="26" fillId="10" borderId="22" xfId="0" applyFont="1" applyFill="1" applyBorder="1" applyAlignment="1">
      <alignment horizontal="center" vertical="center" wrapText="1"/>
    </xf>
    <xf numFmtId="0" fontId="26" fillId="10" borderId="0" xfId="0" applyFont="1" applyFill="1" applyAlignment="1">
      <alignment horizontal="center" vertical="center" wrapText="1"/>
    </xf>
    <xf numFmtId="40" fontId="10" fillId="0" borderId="17" xfId="0" applyNumberFormat="1" applyFont="1" applyBorder="1" applyAlignment="1">
      <alignment horizontal="center" vertical="center"/>
    </xf>
    <xf numFmtId="40" fontId="10" fillId="0" borderId="18" xfId="0" applyNumberFormat="1" applyFont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/>
    </xf>
    <xf numFmtId="4" fontId="18" fillId="7" borderId="0" xfId="0" applyNumberFormat="1" applyFont="1" applyFill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/>
    </xf>
    <xf numFmtId="4" fontId="10" fillId="0" borderId="3" xfId="0" applyNumberFormat="1" applyFont="1" applyBorder="1" applyAlignment="1">
      <alignment horizontal="center" vertical="center"/>
    </xf>
    <xf numFmtId="40" fontId="2" fillId="3" borderId="2" xfId="0" applyNumberFormat="1" applyFont="1" applyFill="1" applyBorder="1" applyAlignment="1">
      <alignment horizontal="center" vertical="center"/>
    </xf>
    <xf numFmtId="40" fontId="2" fillId="3" borderId="3" xfId="0" applyNumberFormat="1" applyFont="1" applyFill="1" applyBorder="1" applyAlignment="1">
      <alignment horizontal="center" vertical="center"/>
    </xf>
    <xf numFmtId="40" fontId="10" fillId="0" borderId="2" xfId="0" applyNumberFormat="1" applyFont="1" applyBorder="1" applyAlignment="1">
      <alignment horizontal="center" vertical="center"/>
    </xf>
    <xf numFmtId="40" fontId="10" fillId="0" borderId="3" xfId="0" applyNumberFormat="1" applyFont="1" applyBorder="1" applyAlignment="1">
      <alignment horizontal="center" vertical="center"/>
    </xf>
    <xf numFmtId="4" fontId="18" fillId="7" borderId="17" xfId="0" applyNumberFormat="1" applyFont="1" applyFill="1" applyBorder="1" applyAlignment="1">
      <alignment horizontal="center" vertical="center"/>
    </xf>
    <xf numFmtId="4" fontId="18" fillId="7" borderId="18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</cellXfs>
  <cellStyles count="4">
    <cellStyle name="Moeda 2" xfId="1" xr:uid="{837E2804-77EE-4B99-B613-FB6B3FA841DC}"/>
    <cellStyle name="Moeda 3" xfId="2" xr:uid="{CC7D3BE8-B162-4F5A-947F-E805CCF21F16}"/>
    <cellStyle name="Normal" xfId="0" builtinId="0"/>
    <cellStyle name="Normal 3" xfId="3" xr:uid="{8A876A09-13D5-4FF6-A9EB-79D871194264}"/>
  </cellStyles>
  <dxfs count="894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theme="1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theme="1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9933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CC66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2" tint="-0.49803155613879818"/>
          </stop>
          <stop position="1">
            <color theme="0"/>
          </stop>
        </gradientFill>
      </fill>
    </dxf>
    <dxf>
      <font>
        <b/>
        <i val="0"/>
      </font>
      <fill>
        <patternFill>
          <bgColor rgb="FFFF9933"/>
        </pattern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7C80"/>
          </stop>
          <stop position="1">
            <color theme="0"/>
          </stop>
        </gradient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5050"/>
          </stop>
          <stop position="1">
            <color theme="0"/>
          </stop>
        </gradientFill>
      </fill>
      <border>
        <vertical/>
        <horizontal/>
      </border>
    </dxf>
    <dxf>
      <font>
        <b/>
        <i val="0"/>
        <color theme="1"/>
      </font>
      <fill>
        <gradientFill degree="90">
          <stop position="0">
            <color theme="0"/>
          </stop>
          <stop position="0.5">
            <color rgb="FFFF5050"/>
          </stop>
          <stop position="1">
            <color theme="0"/>
          </stop>
        </gradientFill>
      </fill>
    </dxf>
    <dxf>
      <font>
        <b/>
        <i val="0"/>
        <color theme="1"/>
      </font>
      <fill>
        <patternFill patternType="none">
          <fgColor indexed="64"/>
          <bgColor auto="1"/>
        </patternFill>
      </fill>
    </dxf>
    <dxf>
      <font>
        <b/>
        <i val="0"/>
        <color theme="1"/>
      </font>
      <fill>
        <gradientFill degree="90">
          <stop position="0">
            <color theme="0"/>
          </stop>
          <stop position="0.5">
            <color rgb="FFFF5050"/>
          </stop>
          <stop position="1">
            <color theme="0"/>
          </stop>
        </gradientFill>
      </fill>
      <border>
        <vertical/>
        <horizontal/>
      </border>
    </dxf>
    <dxf>
      <font>
        <b/>
        <i val="0"/>
      </font>
      <fill>
        <patternFill patternType="none">
          <fgColor indexed="64"/>
          <bgColor auto="1"/>
        </pattern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505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505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theme="0" tint="-0.34900967436750391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333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396499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66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0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9933"/>
          </stop>
        </gradientFill>
      </fill>
    </dxf>
    <dxf>
      <fill>
        <gradientFill degree="90">
          <stop position="0">
            <color theme="0"/>
          </stop>
          <stop position="1">
            <color rgb="FF0000CC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theme="1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theme="1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CC66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rgb="FFFF9933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gradientFill degree="90">
          <stop position="0">
            <color theme="0"/>
          </stop>
          <stop position="0.5">
            <color rgb="FF00FF00"/>
          </stop>
          <stop position="1">
            <color theme="0"/>
          </stop>
        </gradientFill>
      </fill>
    </dxf>
    <dxf>
      <font>
        <b/>
        <i val="0"/>
      </font>
      <fill>
        <gradientFill degree="90">
          <stop position="0">
            <color theme="0"/>
          </stop>
          <stop position="0.5">
            <color theme="2" tint="-0.49803155613879818"/>
          </stop>
          <stop position="1">
            <color theme="0"/>
          </stop>
        </gradientFill>
      </fill>
    </dxf>
    <dxf>
      <font>
        <b/>
        <i val="0"/>
        <color theme="0"/>
      </font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colors>
    <mruColors>
      <color rgb="FF0000CC"/>
      <color rgb="FF00FF00"/>
      <color rgb="FFFF5050"/>
      <color rgb="FFFFFF99"/>
      <color rgb="FFFF7C80"/>
      <color rgb="FF0000FF"/>
      <color rgb="FFFF9900"/>
      <color rgb="FFFF9933"/>
      <color rgb="FFFFCC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47968</xdr:colOff>
      <xdr:row>501</xdr:row>
      <xdr:rowOff>238125</xdr:rowOff>
    </xdr:from>
    <xdr:to>
      <xdr:col>8</xdr:col>
      <xdr:colOff>905832</xdr:colOff>
      <xdr:row>504</xdr:row>
      <xdr:rowOff>85725</xdr:rowOff>
    </xdr:to>
    <xdr:pic>
      <xdr:nvPicPr>
        <xdr:cNvPr id="3" name="Imagem 2" descr="Uma imagem contendo Interface gráfica do usuário&#10;&#10;Descrição gerada automaticamente">
          <a:extLst>
            <a:ext uri="{FF2B5EF4-FFF2-40B4-BE49-F238E27FC236}">
              <a16:creationId xmlns:a16="http://schemas.microsoft.com/office/drawing/2014/main" id="{42EE4CFB-E556-4778-B975-1BC393444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0118" y="171897675"/>
          <a:ext cx="857864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</xdr:row>
      <xdr:rowOff>1</xdr:rowOff>
    </xdr:from>
    <xdr:to>
      <xdr:col>2</xdr:col>
      <xdr:colOff>111125</xdr:colOff>
      <xdr:row>2</xdr:row>
      <xdr:rowOff>268676</xdr:rowOff>
    </xdr:to>
    <xdr:pic>
      <xdr:nvPicPr>
        <xdr:cNvPr id="4" name="Imagem 3" descr="Logotipo, nome da empresa&#10;&#10;Descrição gerada automaticamente">
          <a:extLst>
            <a:ext uri="{FF2B5EF4-FFF2-40B4-BE49-F238E27FC236}">
              <a16:creationId xmlns:a16="http://schemas.microsoft.com/office/drawing/2014/main" id="{420A7CAE-BFD8-468E-A0C2-54BEA6115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76201"/>
          <a:ext cx="796924" cy="69730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493</xdr:row>
      <xdr:rowOff>114300</xdr:rowOff>
    </xdr:from>
    <xdr:to>
      <xdr:col>8</xdr:col>
      <xdr:colOff>904791</xdr:colOff>
      <xdr:row>494</xdr:row>
      <xdr:rowOff>219075</xdr:rowOff>
    </xdr:to>
    <xdr:pic>
      <xdr:nvPicPr>
        <xdr:cNvPr id="9" name="Imagem 8" descr="Arquivos BTG Pactual Empresas - Marcas pelo Mundo">
          <a:extLst>
            <a:ext uri="{FF2B5EF4-FFF2-40B4-BE49-F238E27FC236}">
              <a16:creationId xmlns:a16="http://schemas.microsoft.com/office/drawing/2014/main" id="{CA74D560-0887-4963-8501-44165DA65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169487850"/>
          <a:ext cx="847641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NE FIBRA" id="{65225AF0-5D6D-4953-A02E-C5C7DF0C24D0}" userId="bc6df99cefb09e2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tor Yancovitz" refreshedDate="46131.586298958333" createdVersion="8" refreshedVersion="8" minRefreshableVersion="3" recordCount="408" xr:uid="{9556AD57-120F-4EAB-87B4-E356069FEAFB}">
  <cacheSource type="worksheet">
    <worksheetSource ref="B4:K412" sheet="BASE DE DADOS - 2026"/>
  </cacheSource>
  <cacheFields count="10">
    <cacheField name="Mês" numFmtId="14">
      <sharedItems containsBlank="1" count="4">
        <s v="01/2026"/>
        <s v="02/2026"/>
        <m u="1"/>
        <s v="01/1900" u="1"/>
      </sharedItems>
    </cacheField>
    <cacheField name="Data" numFmtId="14">
      <sharedItems containsSemiMixedTypes="0" containsNonDate="0" containsDate="1" containsString="0" minDate="2026-01-02T00:00:00" maxDate="2026-02-24T00:00:00"/>
    </cacheField>
    <cacheField name="Fornecedor" numFmtId="0">
      <sharedItems/>
    </cacheField>
    <cacheField name="Categoria" numFmtId="0">
      <sharedItems containsBlank="1" count="11">
        <s v="MOVIMENTAÇÃO FINANCEIRA"/>
        <s v="ENCARGOS TRABALHISTAS"/>
        <s v="PESSOAL"/>
        <s v="FINANCEIRO"/>
        <s v="ADMINISTRATIVO"/>
        <s v="JURÍDICO"/>
        <s v="OPERACIONAL"/>
        <s v="INVESTIMENTO / ATIVO"/>
        <s v="TRIBUTÁRIO"/>
        <s v="APLICAÇÃO FINANCEIRA"/>
        <m u="1"/>
      </sharedItems>
    </cacheField>
    <cacheField name="Subcategoria" numFmtId="0">
      <sharedItems containsBlank="1" count="60">
        <s v="Aporte de Sócia / Empréstimo da Sócia"/>
        <s v="GRRF - Multa 40%"/>
        <s v="Rescisões"/>
        <s v="Tarifas Bancárias"/>
        <s v="Transferência entre Contas"/>
        <s v="Vale Transporte"/>
        <s v="Assessoria Financeira"/>
        <s v="Férias"/>
        <s v="Honorários Jurídicos - Mensal"/>
        <s v="Marketing e Publicidade"/>
        <s v="Pensão Alimentícia"/>
        <s v="Processos Trabalhistas - Encargos Legais"/>
        <s v="Salários"/>
        <s v="Vale Alimentação"/>
        <s v="IPVA e Licenciamento de Veículos"/>
        <s v="Ajuda de Custo"/>
        <s v="Contabilidade"/>
        <s v="Fretes / Transportes de Materiais"/>
        <s v="Hospedagem de Funcionários"/>
        <s v="Locação de Equipamentos"/>
        <s v="Manutenção Predial"/>
        <s v="Materiais"/>
        <s v="Pedágio"/>
        <s v="Retirada de Sócia - Despesas Particulares"/>
        <s v="Seguro de Veículos"/>
        <s v="Refinanciamentos"/>
        <s v="Seguro de Vida"/>
        <s v="Sistema de Ponto - Controle de Jornada"/>
        <s v="Aquisição de Veículos"/>
        <s v="Reembolsos"/>
        <s v="Treinamentos / Certificações"/>
        <s v="Acordos / Passivos Antigos de Fornecedores"/>
        <s v="Alimentação da Obra / Refeição Operacional"/>
        <s v="Crachás"/>
        <s v="Exames Médico"/>
        <s v="Fgts"/>
        <s v="ART / Taxas de Engenharia (CREA)"/>
        <s v="Energia Elétrica"/>
        <s v="Telefone"/>
        <s v="Bloqueio Judicial"/>
        <s v="Aluguel Escritório"/>
        <s v="Parcelamento - Imposto em Atraso / Dívida Ativa"/>
        <s v="Projetos de Obra"/>
        <s v="Equipamentos - Relógio de Ponto"/>
        <s v="Certidões / Cartório"/>
        <s v="Contribuição Sindical / Assistencial"/>
        <s v="Internet"/>
        <s v="Parcelamento - INSS Patronal / INSS Funcionários"/>
        <s v="Sistemas Jurídicos / Consulta Processual"/>
        <s v="Desbloqueio Judicial"/>
        <s v="Rendimentos Financeiros"/>
        <s v="Processos Trabalhistas"/>
        <s v="Resgate / Recebimento de Consórcio"/>
        <s v="Serviços / Consultorias"/>
        <s v="Rendimento Bancário"/>
        <s v="Limpeza / Conservação"/>
        <s v="Serviços Jurídicos"/>
        <s v="Participação nos Lucros / PLR"/>
        <s v="Manutenção de Veículos"/>
        <m u="1"/>
      </sharedItems>
    </cacheField>
    <cacheField name="Descrição" numFmtId="0">
      <sharedItems/>
    </cacheField>
    <cacheField name="Centro de Custo" numFmtId="0">
      <sharedItems/>
    </cacheField>
    <cacheField name="Banco" numFmtId="0">
      <sharedItems/>
    </cacheField>
    <cacheField name="ENTRADAS" numFmtId="44">
      <sharedItems containsString="0" containsBlank="1" containsNumber="1" minValue="0.16" maxValue="800000"/>
    </cacheField>
    <cacheField name="SAÍDAS" numFmtId="44">
      <sharedItems containsString="0" containsBlank="1" containsNumber="1" minValue="0.01" maxValue="416446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x v="0"/>
    <d v="2026-01-02T00:00:00"/>
    <s v="ANDREIA UPENECK"/>
    <x v="0"/>
    <x v="0"/>
    <s v="TRANSFERÊNCIA ENTRE CONTAS"/>
    <s v="TRANSFERÊNCIA ENTRE CONTAS"/>
    <s v="SANTANDER"/>
    <n v="24090"/>
    <m/>
  </r>
  <r>
    <x v="0"/>
    <d v="2026-01-02T00:00:00"/>
    <s v="GRRF - GUIA DE RECOLHIMENTO RESCISÓRIO DO FGTS"/>
    <x v="1"/>
    <x v="1"/>
    <s v="ANDRE DE MOURA NASCIMENTO"/>
    <s v="AGEO - BACIA 10"/>
    <s v="SANTANDER"/>
    <m/>
    <n v="816.95"/>
  </r>
  <r>
    <x v="0"/>
    <d v="2026-01-02T00:00:00"/>
    <s v="GRRF - GUIA DE RECOLHIMENTO RESCISÓRIO DO FGTS"/>
    <x v="1"/>
    <x v="1"/>
    <s v="JOSE EDUARDO LIMA DE SANTANA"/>
    <s v="AGEO - BACIA 10"/>
    <s v="SANTANDER"/>
    <m/>
    <n v="774.59"/>
  </r>
  <r>
    <x v="0"/>
    <d v="2026-01-02T00:00:00"/>
    <s v="GRRF - GUIA DE RECOLHIMENTO RESCISÓRIO DO FGTS"/>
    <x v="1"/>
    <x v="1"/>
    <s v="JOSUEL EVANGELISTA DOS SANTOS"/>
    <s v="AGEO - BACIA 10"/>
    <s v="SANTANDER"/>
    <m/>
    <n v="1335.73"/>
  </r>
  <r>
    <x v="0"/>
    <d v="2026-01-02T00:00:00"/>
    <s v="GRRF - GUIA DE RECOLHIMENTO RESCISÓRIO DO FGTS"/>
    <x v="1"/>
    <x v="1"/>
    <s v="ANTONIO EDUARDO DOS SANTOS"/>
    <s v="AGEO - BACIA 10"/>
    <s v="SANTANDER"/>
    <m/>
    <n v="154.84"/>
  </r>
  <r>
    <x v="0"/>
    <d v="2026-01-02T00:00:00"/>
    <s v="GRRF - GUIA DE RECOLHIMENTO RESCISÓRIO DO FGTS"/>
    <x v="1"/>
    <x v="1"/>
    <s v="EDSON JOSE DA SILVA"/>
    <s v="AGEO - BACIA 10"/>
    <s v="SANTANDER"/>
    <m/>
    <n v="361.09"/>
  </r>
  <r>
    <x v="0"/>
    <d v="2026-01-02T00:00:00"/>
    <s v="GRRF - GUIA DE RECOLHIMENTO RESCISÓRIO DO FGTS"/>
    <x v="1"/>
    <x v="1"/>
    <s v="HAYSLAN RYQUELME DOS SANTOS JESUS"/>
    <s v="AGEO - BACIA 10"/>
    <s v="SANTANDER"/>
    <m/>
    <n v="2865.26"/>
  </r>
  <r>
    <x v="0"/>
    <d v="2026-01-02T00:00:00"/>
    <s v="GRRF - GUIA DE RECOLHIMENTO RESCISÓRIO DO FGTS"/>
    <x v="1"/>
    <x v="1"/>
    <s v="ALYSSON DE OLIVEIRA RODRIGUES BARBARA"/>
    <s v="AGEO - BACIA 10"/>
    <s v="SANTANDER"/>
    <m/>
    <n v="156.88999999999999"/>
  </r>
  <r>
    <x v="0"/>
    <d v="2026-01-02T00:00:00"/>
    <s v="RESCISÃO DO CONTRATO DE TRABALHO"/>
    <x v="2"/>
    <x v="2"/>
    <s v="ANDRE DE MOURA NASCIMENTO"/>
    <s v="AGEO - BACIA 10"/>
    <s v="SANTANDER"/>
    <m/>
    <n v="3287.57"/>
  </r>
  <r>
    <x v="0"/>
    <d v="2026-01-02T00:00:00"/>
    <s v="RESCISÃO DO CONTRATO DE TRABALHO"/>
    <x v="2"/>
    <x v="2"/>
    <s v="JOSE EDUARDO LIMA DE SANTANA"/>
    <s v="AGEO - BACIA 10"/>
    <s v="SANTANDER"/>
    <m/>
    <n v="2923.43"/>
  </r>
  <r>
    <x v="0"/>
    <d v="2026-01-02T00:00:00"/>
    <s v="RESCISÃO DO CONTRATO DE TRABALHO"/>
    <x v="2"/>
    <x v="2"/>
    <s v="JOSUEL EVANGELISTA DOS SANTOS"/>
    <s v="AGEO - BACIA 10"/>
    <s v="SANTANDER"/>
    <m/>
    <n v="248.7"/>
  </r>
  <r>
    <x v="0"/>
    <d v="2026-01-02T00:00:00"/>
    <s v="RESCISÃO DO CONTRATO DE TRABALHO"/>
    <x v="2"/>
    <x v="2"/>
    <s v="EDSON JOSE DA SILVA"/>
    <s v="AGEO - BACIA 10"/>
    <s v="SANTANDER"/>
    <m/>
    <n v="3715.12"/>
  </r>
  <r>
    <x v="0"/>
    <d v="2026-01-02T00:00:00"/>
    <s v="RESCISÃO DO CONTRATO DE TRABALHO"/>
    <x v="2"/>
    <x v="2"/>
    <s v="ALYSSON DE OLIVEIRA RODRIGUES BARBARA"/>
    <s v="AGEO - BACIA 10"/>
    <s v="SANTANDER"/>
    <m/>
    <n v="1586.85"/>
  </r>
  <r>
    <x v="0"/>
    <d v="2026-01-05T00:00:00"/>
    <s v="GRRF - GUIA DE RECOLHIMENTO RESCISÓRIO DO FGTS"/>
    <x v="1"/>
    <x v="1"/>
    <s v="MAURO SANTANA DA CONCEIÇÃO"/>
    <s v="AGEO - BACIA 10"/>
    <s v="SANTANDER"/>
    <m/>
    <n v="981.21"/>
  </r>
  <r>
    <x v="0"/>
    <d v="2026-01-05T00:00:00"/>
    <s v="RESCISÃO DO CONTRATO DE TRABALHO"/>
    <x v="2"/>
    <x v="2"/>
    <s v="HAYSLAN RYQUELME DOS SANTOS JESUS"/>
    <s v="AGEO - BACIA 10"/>
    <s v="PAGAMENTOS (ANDREIA)"/>
    <m/>
    <n v="5859.89"/>
  </r>
  <r>
    <x v="0"/>
    <d v="2026-01-05T00:00:00"/>
    <s v="RESCISÃO DO CONTRATO DE TRABALHO"/>
    <x v="2"/>
    <x v="2"/>
    <s v="MAURO SANTANA DA CONCEIÇÃO"/>
    <s v="AGEO - BACIA 10"/>
    <s v="SANTANDER"/>
    <m/>
    <n v="3312.05"/>
  </r>
  <r>
    <x v="0"/>
    <d v="2026-01-05T00:00:00"/>
    <s v="BANCO SANTANDER"/>
    <x v="3"/>
    <x v="3"/>
    <s v="TARIFAS"/>
    <s v="TECNOMONTE"/>
    <s v="SANTANDER"/>
    <m/>
    <n v="2.6"/>
  </r>
  <r>
    <x v="0"/>
    <d v="2026-01-05T00:00:00"/>
    <s v="BANCO SANTANDER"/>
    <x v="3"/>
    <x v="3"/>
    <s v="TARIFAS"/>
    <s v="TECNOMONTE"/>
    <s v="SANTANDER"/>
    <m/>
    <n v="5.2"/>
  </r>
  <r>
    <x v="0"/>
    <d v="2026-01-05T00:00:00"/>
    <s v="BANCO BTG"/>
    <x v="0"/>
    <x v="4"/>
    <s v="TRANSFERÊNCIA ENTRE CONTAS"/>
    <s v="TRANSFERÊNCIA ENTRE CONTAS"/>
    <s v="SANTANDER"/>
    <m/>
    <n v="6000"/>
  </r>
  <r>
    <x v="0"/>
    <d v="2026-01-06T00:00:00"/>
    <s v="BANCO SANTANDER"/>
    <x v="3"/>
    <x v="3"/>
    <s v="TARIFAS"/>
    <s v="TECNOMONTE"/>
    <s v="SANTANDER"/>
    <m/>
    <n v="8.3800000000000008"/>
  </r>
  <r>
    <x v="0"/>
    <d v="2026-01-06T00:00:00"/>
    <s v="VALE TRANSPORTE"/>
    <x v="1"/>
    <x v="5"/>
    <s v="Passagem"/>
    <s v="AGEO - BACIA 10"/>
    <s v="SANTANDER"/>
    <m/>
    <n v="143.75"/>
  </r>
  <r>
    <x v="0"/>
    <d v="2026-01-07T00:00:00"/>
    <s v="FIBRA ADMINISTRAÇÃO DE BENS E SERVIÇOS"/>
    <x v="4"/>
    <x v="6"/>
    <s v="Assessoria Financeira"/>
    <s v="TECNOMONTE"/>
    <s v="SANTANDER"/>
    <m/>
    <n v="4950"/>
  </r>
  <r>
    <x v="0"/>
    <d v="2026-01-07T00:00:00"/>
    <s v="RECIBO DE FÉRIAS"/>
    <x v="2"/>
    <x v="7"/>
    <s v="ADILSON CANDIDO LAURO"/>
    <s v="AGEO - BACIA 10"/>
    <s v="SANTANDER"/>
    <m/>
    <n v="4470.6400000000003"/>
  </r>
  <r>
    <x v="0"/>
    <d v="2026-01-07T00:00:00"/>
    <s v="GRRF - GUIA DE RECOLHIMENTO RESCISÓRIO DO FGTS"/>
    <x v="1"/>
    <x v="1"/>
    <s v="JUAN MULLER DOS SANTOS"/>
    <s v="AGEO - BACIA 10"/>
    <s v="SANTANDER"/>
    <m/>
    <n v="2337.36"/>
  </r>
  <r>
    <x v="0"/>
    <d v="2026-01-07T00:00:00"/>
    <s v="GRRF - GUIA DE RECOLHIMENTO RESCISÓRIO DO FGTS"/>
    <x v="1"/>
    <x v="1"/>
    <s v="ROBERT RODRIGO DA SILVA"/>
    <s v="AGEO - BACIA 10"/>
    <s v="SANTANDER"/>
    <m/>
    <n v="3645.37"/>
  </r>
  <r>
    <x v="0"/>
    <d v="2026-01-07T00:00:00"/>
    <s v="BIBBIANA BERTOLACCINI VASCONCELOS"/>
    <x v="5"/>
    <x v="8"/>
    <s v="Trabalhista, Fiscal e Contratos "/>
    <s v="TECNOMONTE"/>
    <s v="SANTANDER"/>
    <m/>
    <n v="3500"/>
  </r>
  <r>
    <x v="0"/>
    <d v="2026-01-07T00:00:00"/>
    <s v="ANDRE GUILHERME BARZ - INICIAL COMUNICAÇÃO"/>
    <x v="4"/>
    <x v="9"/>
    <s v="Serviços Prestados"/>
    <s v="TECNOMONTE"/>
    <s v="SANTANDER"/>
    <m/>
    <n v="1800"/>
  </r>
  <r>
    <x v="0"/>
    <d v="2026-01-07T00:00:00"/>
    <s v="ANNE CAROLINE FOGACA DA SILVA"/>
    <x v="2"/>
    <x v="10"/>
    <s v="Josenildo Goes de Souza - Pensão Alimentícia"/>
    <s v="AGEO - BACIA 10"/>
    <s v="SANTANDER"/>
    <m/>
    <n v="718.11"/>
  </r>
  <r>
    <x v="0"/>
    <d v="2026-01-07T00:00:00"/>
    <s v="BEATRIZ NUNES DOS SANTOS"/>
    <x v="2"/>
    <x v="10"/>
    <s v=" Matheus Henrique de Lira Barbosa - Pensão Alimentícia"/>
    <s v="AGEO - BACIA 10"/>
    <s v="SANTANDER"/>
    <m/>
    <n v="750.23"/>
  </r>
  <r>
    <x v="0"/>
    <d v="2026-01-07T00:00:00"/>
    <s v="EMILY FERNANDA DOS SANTOS SILVA"/>
    <x v="2"/>
    <x v="10"/>
    <s v="Eric dos Santos Silva - Pensão Alimentícia"/>
    <s v="AGEO - BACIA 10"/>
    <s v="SANTANDER"/>
    <m/>
    <n v="692.73"/>
  </r>
  <r>
    <x v="0"/>
    <d v="2026-01-07T00:00:00"/>
    <s v="LEIDYANE FREITAS DA SILVA"/>
    <x v="2"/>
    <x v="10"/>
    <s v="Paulo Cesar Costa Silva - Pensão Alimentícia"/>
    <s v="AGEO - BACIA 10"/>
    <s v="SANTANDER"/>
    <m/>
    <n v="607.20000000000005"/>
  </r>
  <r>
    <x v="0"/>
    <d v="2026-01-07T00:00:00"/>
    <s v="TRIBUNAL REGIONAL DO TRABALHO"/>
    <x v="5"/>
    <x v="11"/>
    <s v="Rerisson Ferreira Barreto da Silva"/>
    <s v="TECNOMONTE"/>
    <s v="SANTANDER"/>
    <m/>
    <n v="896.62"/>
  </r>
  <r>
    <x v="0"/>
    <d v="2026-01-07T00:00:00"/>
    <s v="RESCISÃO DO CONTRATO DE TRABALHO"/>
    <x v="2"/>
    <x v="2"/>
    <s v="GUSTAVO FABRICIO DA SILVA OLIVEIRA"/>
    <s v="AGEO - BACIA 10"/>
    <s v="SANTANDER"/>
    <m/>
    <n v="1931.92"/>
  </r>
  <r>
    <x v="0"/>
    <d v="2026-01-07T00:00:00"/>
    <s v="RESCISÃO DO CONTRATO DE TRABALHO"/>
    <x v="2"/>
    <x v="2"/>
    <s v="JUAN MULLER DOS SANTOS"/>
    <s v="AGEO - BACIA 10"/>
    <s v="SANTANDER"/>
    <m/>
    <n v="7579.63"/>
  </r>
  <r>
    <x v="0"/>
    <d v="2026-01-07T00:00:00"/>
    <s v="RESCISÃO DO CONTRATO DE TRABALHO"/>
    <x v="2"/>
    <x v="2"/>
    <s v="ROBERT RODRIGO DA SILVA"/>
    <s v="AGEO - BACIA 10"/>
    <s v="SANTANDER"/>
    <m/>
    <n v="10077.379999999999"/>
  </r>
  <r>
    <x v="0"/>
    <d v="2026-01-07T00:00:00"/>
    <s v="FOLHA DE PAGAMENTO "/>
    <x v="2"/>
    <x v="12"/>
    <s v="Pagamento de Salários"/>
    <s v="AGEO - BACIA 10"/>
    <s v="SANTANDER"/>
    <m/>
    <n v="416446.59"/>
  </r>
  <r>
    <x v="0"/>
    <d v="2026-01-07T00:00:00"/>
    <s v="FOLHA DE PAGAMENTO "/>
    <x v="2"/>
    <x v="12"/>
    <s v="Pagamento de Salários"/>
    <s v="AGEO - GERAL"/>
    <s v="SANTANDER"/>
    <m/>
    <n v="123880.6"/>
  </r>
  <r>
    <x v="0"/>
    <d v="2026-01-07T00:00:00"/>
    <s v="BANCO SANTANDER"/>
    <x v="3"/>
    <x v="3"/>
    <s v="TARIFAS"/>
    <s v="TECNOMONTE"/>
    <s v="SANTANDER"/>
    <m/>
    <n v="0.78"/>
  </r>
  <r>
    <x v="0"/>
    <d v="2026-01-07T00:00:00"/>
    <s v="BANCO BTG"/>
    <x v="0"/>
    <x v="4"/>
    <s v="TRANSFERÊNCIA ENTRE CONTAS"/>
    <s v="TRANSFERÊNCIA ENTRE CONTAS"/>
    <s v="SANTANDER"/>
    <n v="800000"/>
    <m/>
  </r>
  <r>
    <x v="0"/>
    <d v="2026-01-07T00:00:00"/>
    <s v="VR BENEFICIOS"/>
    <x v="1"/>
    <x v="13"/>
    <s v="Cartão Alimentação "/>
    <s v="AGEO - BACIA 10"/>
    <s v="SANTANDER"/>
    <m/>
    <n v="91063.38"/>
  </r>
  <r>
    <x v="0"/>
    <d v="2026-01-07T00:00:00"/>
    <s v="VR BENEFICIOS"/>
    <x v="1"/>
    <x v="13"/>
    <s v="Cartão Alimentação "/>
    <s v="AGEO - GERAL"/>
    <s v="SANTANDER"/>
    <m/>
    <n v="26558.639999999999"/>
  </r>
  <r>
    <x v="0"/>
    <d v="2026-01-08T00:00:00"/>
    <s v="DESPACHANTE SANTO ANTONIO"/>
    <x v="6"/>
    <x v="14"/>
    <s v="Documentação"/>
    <s v="TECNOMONTE"/>
    <s v="SANTANDER"/>
    <m/>
    <n v="49023.75"/>
  </r>
  <r>
    <x v="0"/>
    <d v="2026-01-08T00:00:00"/>
    <s v="BANCO SANTANDER"/>
    <x v="3"/>
    <x v="3"/>
    <s v="TARIFAS"/>
    <s v="TECNOMONTE"/>
    <s v="SANTANDER"/>
    <m/>
    <n v="13.5"/>
  </r>
  <r>
    <x v="0"/>
    <d v="2026-01-08T00:00:00"/>
    <s v="BANCO SANTANDER"/>
    <x v="3"/>
    <x v="3"/>
    <s v="TARIFAS"/>
    <s v="TECNOMONTE"/>
    <s v="SANTANDER"/>
    <m/>
    <n v="49.42"/>
  </r>
  <r>
    <x v="0"/>
    <d v="2026-01-08T00:00:00"/>
    <s v="BANCO SANTANDER"/>
    <x v="3"/>
    <x v="3"/>
    <s v="TARIFAS"/>
    <s v="TECNOMONTE"/>
    <s v="SANTANDER"/>
    <m/>
    <n v="32.5"/>
  </r>
  <r>
    <x v="0"/>
    <d v="2026-01-08T00:00:00"/>
    <s v="BANCO SANTANDER"/>
    <x v="3"/>
    <x v="3"/>
    <s v="TARIFAS"/>
    <s v="TECNOMONTE"/>
    <s v="SANTANDER"/>
    <m/>
    <n v="227.5"/>
  </r>
  <r>
    <x v="0"/>
    <d v="2026-01-08T00:00:00"/>
    <s v="VR BENEFICIOS"/>
    <x v="1"/>
    <x v="13"/>
    <s v="Cartão Alimentação "/>
    <s v="AGEO - BACIA 10"/>
    <s v="SANTANDER"/>
    <m/>
    <n v="0.02"/>
  </r>
  <r>
    <x v="0"/>
    <d v="2026-01-09T00:00:00"/>
    <s v="ANDERSON SANTOS ALBERTO"/>
    <x v="2"/>
    <x v="15"/>
    <s v="Ajuda de Custo"/>
    <s v="AGEO - BACIA 10"/>
    <s v="SANTANDER"/>
    <m/>
    <n v="500"/>
  </r>
  <r>
    <x v="0"/>
    <d v="2026-01-09T00:00:00"/>
    <s v="CONTABNEW ASSESSORIA CONTÁBIL, FISCAL E TRABALHISTA"/>
    <x v="4"/>
    <x v="16"/>
    <s v="Mensal"/>
    <s v="TECNOMONTE"/>
    <s v="SANTANDER"/>
    <m/>
    <n v="4900"/>
  </r>
  <r>
    <x v="0"/>
    <d v="2026-01-09T00:00:00"/>
    <s v="DANIEL TEIXEIRA DOS SANTOS"/>
    <x v="6"/>
    <x v="17"/>
    <s v="Frete"/>
    <s v="TECNOMONTE"/>
    <s v="SANTANDER"/>
    <m/>
    <n v="180"/>
  </r>
  <r>
    <x v="0"/>
    <d v="2026-01-09T00:00:00"/>
    <s v="EDEMILSON DE OLIVEIRA JACULI"/>
    <x v="6"/>
    <x v="18"/>
    <s v="Hospedagem"/>
    <s v="AGEO - GERAL"/>
    <s v="SANTANDER"/>
    <m/>
    <n v="6000"/>
  </r>
  <r>
    <x v="0"/>
    <d v="2026-01-09T00:00:00"/>
    <s v="SANTOS CONTAINER"/>
    <x v="6"/>
    <x v="19"/>
    <s v="Container"/>
    <s v="AGEO - GERAL"/>
    <s v="SANTANDER"/>
    <m/>
    <n v="2342.65"/>
  </r>
  <r>
    <x v="0"/>
    <d v="2026-01-09T00:00:00"/>
    <s v="FORTI RENTAL LOCACAO DE MAQUINAS E EQUIPAMENTOS - TRANSMUNCK"/>
    <x v="6"/>
    <x v="19"/>
    <s v="Locação de Equipamentos"/>
    <s v="AGEO - BACIA 10"/>
    <s v="SANTANDER"/>
    <m/>
    <n v="300"/>
  </r>
  <r>
    <x v="0"/>
    <d v="2026-01-09T00:00:00"/>
    <s v="UBIRAJARA FELIX DA SILVA"/>
    <x v="4"/>
    <x v="20"/>
    <s v="Manutenção Ar Condicionado"/>
    <s v="TECNOMONTE"/>
    <s v="SANTANDER"/>
    <m/>
    <n v="550"/>
  </r>
  <r>
    <x v="0"/>
    <d v="2026-01-09T00:00:00"/>
    <s v="ROLAMENTOS CBF LTDA"/>
    <x v="6"/>
    <x v="21"/>
    <s v="Materiais"/>
    <s v="TECNOMONTE"/>
    <s v="SANTANDER"/>
    <m/>
    <n v="2018.02"/>
  </r>
  <r>
    <x v="0"/>
    <d v="2026-01-09T00:00:00"/>
    <s v="SEM PARAR"/>
    <x v="6"/>
    <x v="22"/>
    <s v="Pedágio"/>
    <s v="TECNOMONTE"/>
    <s v="SANTANDER"/>
    <m/>
    <n v="247.04"/>
  </r>
  <r>
    <x v="0"/>
    <d v="2026-01-09T00:00:00"/>
    <s v="TRIBUNAL REGIONAL DO TRABALHO"/>
    <x v="5"/>
    <x v="11"/>
    <s v="JOSE MANOEL DE LIMA"/>
    <s v="TECNOMONTE"/>
    <s v="SANTANDER"/>
    <m/>
    <n v="1500"/>
  </r>
  <r>
    <x v="0"/>
    <d v="2026-01-09T00:00:00"/>
    <s v="TRIBUNAL REGIONAL DO TRABALHO"/>
    <x v="5"/>
    <x v="11"/>
    <s v="RAUL DA SILVA SANTOS"/>
    <s v="TECNOMONTE"/>
    <s v="SANTANDER"/>
    <m/>
    <n v="1500"/>
  </r>
  <r>
    <x v="0"/>
    <d v="2026-01-09T00:00:00"/>
    <s v="ALDEVI NOGUEIRA COUTINHO"/>
    <x v="0"/>
    <x v="23"/>
    <s v="Piscina"/>
    <s v="ANDRÉIA - PARTICULAR"/>
    <s v="SANTANDER"/>
    <m/>
    <n v="200"/>
  </r>
  <r>
    <x v="0"/>
    <d v="2026-01-09T00:00:00"/>
    <s v="DESKTOP INTERNET SERVICES"/>
    <x v="0"/>
    <x v="23"/>
    <s v="Internet: Argeo Piva, 683 (Nº Contrato: 301170 - Senha: 658674)"/>
    <s v="ANDRÉIA - PARTICULAR"/>
    <s v="SANTANDER"/>
    <m/>
    <n v="139.99"/>
  </r>
  <r>
    <x v="0"/>
    <d v="2026-01-09T00:00:00"/>
    <s v="CONDOMÍNIO RESIDENCIAL RESERVA JOÃO ARANHA"/>
    <x v="0"/>
    <x v="23"/>
    <s v="Condomínio Apto - Rua: Laurindo A. de Moura, 112 Ap 22 C - Jd Leonor - CEP: 13145-282"/>
    <s v="ANDRÉIA - PARTICULAR"/>
    <s v="SANTANDER"/>
    <m/>
    <n v="443.46"/>
  </r>
  <r>
    <x v="0"/>
    <d v="2026-01-09T00:00:00"/>
    <s v="TOKIO MARINE SEGURADORA S A"/>
    <x v="6"/>
    <x v="24"/>
    <s v="Velar e Caminhão"/>
    <s v="TECNOMONTE"/>
    <s v="SANTANDER"/>
    <m/>
    <n v="6542.29"/>
  </r>
  <r>
    <x v="0"/>
    <d v="2026-01-09T00:00:00"/>
    <s v="TOKIO MARINE SEGURADORA S A"/>
    <x v="6"/>
    <x v="24"/>
    <s v="Defender (Diferença)"/>
    <s v="TECNOMONTE"/>
    <s v="SANTANDER"/>
    <m/>
    <n v="1631.59"/>
  </r>
  <r>
    <x v="0"/>
    <d v="2026-01-09T00:00:00"/>
    <s v="BANCO SANTANDER"/>
    <x v="3"/>
    <x v="3"/>
    <s v="TARIFAS"/>
    <s v="TECNOMONTE"/>
    <s v="SANTANDER"/>
    <m/>
    <n v="129.9"/>
  </r>
  <r>
    <x v="0"/>
    <d v="2026-01-09T00:00:00"/>
    <s v="BANCO SANTANDER"/>
    <x v="3"/>
    <x v="3"/>
    <s v="TARIFAS"/>
    <s v="TECNOMONTE"/>
    <s v="SANTANDER"/>
    <m/>
    <n v="3.85"/>
  </r>
  <r>
    <x v="0"/>
    <d v="2026-01-09T00:00:00"/>
    <s v="VALE TRANSPORTE"/>
    <x v="1"/>
    <x v="5"/>
    <s v="Passagem"/>
    <s v="AGEO - BACIA 10"/>
    <s v="SANTANDER"/>
    <m/>
    <n v="470"/>
  </r>
  <r>
    <x v="0"/>
    <d v="2026-01-12T00:00:00"/>
    <s v="BANCO SANTANDER "/>
    <x v="3"/>
    <x v="25"/>
    <s v="Parcelamento Matriz"/>
    <s v="TECNOMONTE"/>
    <s v="SANTANDER"/>
    <m/>
    <n v="2951.86"/>
  </r>
  <r>
    <x v="0"/>
    <d v="2026-01-12T00:00:00"/>
    <s v="GRRF - GUIA DE RECOLHIMENTO RESCISÓRIO DO FGTS"/>
    <x v="2"/>
    <x v="2"/>
    <s v="JESSE WILLIAM DA SILVA"/>
    <s v="AGEO - BACIA 10"/>
    <s v="SANTANDER"/>
    <m/>
    <n v="1342.41"/>
  </r>
  <r>
    <x v="0"/>
    <d v="2026-01-12T00:00:00"/>
    <s v="RESCISÃO DO CONTRATO DE TRABALHO"/>
    <x v="2"/>
    <x v="2"/>
    <s v="LUIZ RENAN CONCEIÇÃO DE JESUS"/>
    <s v="AGEO - BACIA 10"/>
    <s v="SANTANDER"/>
    <m/>
    <n v="1527.14"/>
  </r>
  <r>
    <x v="0"/>
    <d v="2026-01-12T00:00:00"/>
    <s v="CHEQUE SANTANDER"/>
    <x v="0"/>
    <x v="23"/>
    <s v="CHEQUE SANTANDER - PAGO VIA PIX"/>
    <s v="ANDRÉIA - PARTICULAR"/>
    <s v="SANTANDER"/>
    <m/>
    <n v="16666"/>
  </r>
  <r>
    <x v="0"/>
    <d v="2026-01-12T00:00:00"/>
    <s v="REAL NEGOCIOS IMOBILIARIOS"/>
    <x v="0"/>
    <x v="23"/>
    <s v="Rua Argeo Piva, 683 Casa 05 - CEP: 13140-762"/>
    <s v="ANDRÉIA - PARTICULAR"/>
    <s v="SANTANDER"/>
    <m/>
    <n v="5802.31"/>
  </r>
  <r>
    <x v="0"/>
    <d v="2026-01-12T00:00:00"/>
    <s v="BRADESCO SEGUROS"/>
    <x v="6"/>
    <x v="24"/>
    <s v="Munck"/>
    <s v="TECNOMONTE"/>
    <s v="SANTANDER"/>
    <m/>
    <n v="580.53"/>
  </r>
  <r>
    <x v="0"/>
    <d v="2026-01-12T00:00:00"/>
    <s v="TOKIO MARINE SEGURADORA S A"/>
    <x v="1"/>
    <x v="26"/>
    <s v="Seguro de Vida - Funcionários"/>
    <s v="TECNOMONTE"/>
    <s v="SANTANDER"/>
    <m/>
    <n v="1218.1099999999999"/>
  </r>
  <r>
    <x v="0"/>
    <d v="2026-01-12T00:00:00"/>
    <s v="TECNOPONTO TEC. AVANÇADA EM CONTROLE DE PONTO DE ACESSO"/>
    <x v="4"/>
    <x v="27"/>
    <s v="Relógio Ponto"/>
    <s v="TECNOMONTE"/>
    <s v="SANTANDER"/>
    <m/>
    <n v="982.4"/>
  </r>
  <r>
    <x v="0"/>
    <d v="2026-01-12T00:00:00"/>
    <s v="BANCO SANTANDER"/>
    <x v="3"/>
    <x v="3"/>
    <s v="TARIFAS"/>
    <s v="TECNOMONTE"/>
    <s v="SANTANDER"/>
    <m/>
    <n v="224"/>
  </r>
  <r>
    <x v="0"/>
    <d v="2026-01-12T00:00:00"/>
    <s v="BANCO SANTANDER"/>
    <x v="3"/>
    <x v="3"/>
    <s v="TARIFAS"/>
    <s v="TECNOMONTE"/>
    <s v="SANTANDER"/>
    <m/>
    <n v="22.74"/>
  </r>
  <r>
    <x v="0"/>
    <d v="2026-01-12T00:00:00"/>
    <s v="BANCO BTG"/>
    <x v="0"/>
    <x v="4"/>
    <s v="TRANSFERÊNCIA ENTRE CONTAS"/>
    <s v="TRANSFERÊNCIA ENTRE CONTAS"/>
    <s v="SANTANDER"/>
    <n v="50000"/>
    <m/>
  </r>
  <r>
    <x v="0"/>
    <d v="2026-01-12T00:00:00"/>
    <s v="BANCO VOLKSWAGEN S.A"/>
    <x v="7"/>
    <x v="28"/>
    <s v="Caminhão"/>
    <s v="TECNOMONTE"/>
    <s v="SANTANDER"/>
    <m/>
    <n v="15074.25"/>
  </r>
  <r>
    <x v="0"/>
    <d v="2026-01-13T00:00:00"/>
    <s v="VEDAMAR"/>
    <x v="6"/>
    <x v="21"/>
    <s v="Materiais"/>
    <s v="AGEO - GERAL"/>
    <s v="SANTANDER"/>
    <m/>
    <n v="180"/>
  </r>
  <r>
    <x v="0"/>
    <d v="2026-01-13T00:00:00"/>
    <s v="BANCO SANTANDER"/>
    <x v="3"/>
    <x v="3"/>
    <s v="TARIFAS"/>
    <s v="TECNOMONTE"/>
    <s v="SANTANDER"/>
    <m/>
    <n v="7.7"/>
  </r>
  <r>
    <x v="0"/>
    <d v="2026-01-13T00:00:00"/>
    <s v="BANCO SANTANDER"/>
    <x v="3"/>
    <x v="3"/>
    <s v="TARIFAS"/>
    <s v="TECNOMONTE"/>
    <s v="SANTANDER"/>
    <m/>
    <n v="0.98"/>
  </r>
  <r>
    <x v="0"/>
    <d v="2026-01-14T00:00:00"/>
    <s v="BANCO SAFRA"/>
    <x v="3"/>
    <x v="25"/>
    <s v="Refinanciamento - (R$ 436.800,00)"/>
    <s v="TECNOMONTE"/>
    <s v="SANTANDER"/>
    <m/>
    <n v="13460.76"/>
  </r>
  <r>
    <x v="0"/>
    <d v="2026-01-14T00:00:00"/>
    <s v="BANCO SAFRA"/>
    <x v="3"/>
    <x v="25"/>
    <s v="Refinanciamento - (R$ 279.568,70)"/>
    <s v="TECNOMONTE"/>
    <s v="SANTANDER"/>
    <m/>
    <n v="7008.95"/>
  </r>
  <r>
    <x v="0"/>
    <d v="2026-01-14T00:00:00"/>
    <s v="CARLOS HENRIQUE AUGUSTO DOS SANTOS"/>
    <x v="2"/>
    <x v="12"/>
    <s v="Diferença de Salário"/>
    <s v="AGEO - GERAL"/>
    <s v="SANTANDER"/>
    <m/>
    <n v="112.37"/>
  </r>
  <r>
    <x v="0"/>
    <d v="2026-01-14T00:00:00"/>
    <s v="VR BENEFICIOS"/>
    <x v="1"/>
    <x v="13"/>
    <s v="Cartão Alimentação "/>
    <s v="AGEO - GERAL"/>
    <s v="SANTANDER"/>
    <m/>
    <n v="9.01"/>
  </r>
  <r>
    <x v="0"/>
    <d v="2026-01-14T00:00:00"/>
    <s v="VALE TRANSPORTE"/>
    <x v="1"/>
    <x v="5"/>
    <s v="Passagem"/>
    <s v="CESARI - CUBATÃO"/>
    <s v="SANTANDER"/>
    <m/>
    <n v="183.4"/>
  </r>
  <r>
    <x v="0"/>
    <d v="2026-01-15T00:00:00"/>
    <s v="CARLOS HENRIQUE AUGUSTO DOS SANTOS"/>
    <x v="2"/>
    <x v="15"/>
    <s v="Ajuda de Custo"/>
    <s v="AGEO - GERAL"/>
    <s v="SANTANDER"/>
    <m/>
    <n v="500"/>
  </r>
  <r>
    <x v="0"/>
    <d v="2026-01-15T00:00:00"/>
    <s v="BANCO SANTANDER"/>
    <x v="3"/>
    <x v="3"/>
    <s v="TARIFAS"/>
    <s v="TECNOMONTE"/>
    <s v="SANTANDER"/>
    <m/>
    <n v="3.4"/>
  </r>
  <r>
    <x v="0"/>
    <d v="2026-01-15T00:00:00"/>
    <s v="VALE TRANSPORTE"/>
    <x v="1"/>
    <x v="5"/>
    <s v="Passagem"/>
    <s v="AGEO - GERAL"/>
    <s v="SANTANDER"/>
    <m/>
    <n v="411.2"/>
  </r>
  <r>
    <x v="0"/>
    <d v="2026-01-16T00:00:00"/>
    <s v="ANDREIA UPENECK"/>
    <x v="0"/>
    <x v="0"/>
    <s v="TRANSFERÊNCIA ENTRE CONTAS"/>
    <s v="TRANSFERÊNCIA ENTRE CONTAS"/>
    <s v="SANTANDER"/>
    <n v="30000"/>
    <m/>
  </r>
  <r>
    <x v="0"/>
    <d v="2026-01-16T00:00:00"/>
    <s v="GRRF - GUIA DE RECOLHIMENTO RESCISÓRIO DO FGTS"/>
    <x v="1"/>
    <x v="1"/>
    <s v="DOUGLAS GOMES ARAUJO"/>
    <s v="AGEO - BACIA 10"/>
    <s v="SANTANDER"/>
    <m/>
    <n v="21.7"/>
  </r>
  <r>
    <x v="0"/>
    <d v="2026-01-16T00:00:00"/>
    <s v="GRRF - GUIA DE RECOLHIMENTO RESCISÓRIO DO FGTS"/>
    <x v="1"/>
    <x v="1"/>
    <s v="ANDERSON SANTOS ALBERTO "/>
    <s v="AGEO - BACIA 10"/>
    <s v="SANTANDER"/>
    <m/>
    <n v="1576.59"/>
  </r>
  <r>
    <x v="0"/>
    <d v="2026-01-16T00:00:00"/>
    <s v="GRRF - GUIA DE RECOLHIMENTO RESCISÓRIO DO FGTS"/>
    <x v="1"/>
    <x v="1"/>
    <s v="MARCELO MARTINS DE LO SANTOS"/>
    <s v="AGEO - BACIA 10"/>
    <s v="SANTANDER"/>
    <m/>
    <n v="27.88"/>
  </r>
  <r>
    <x v="0"/>
    <d v="2026-01-16T00:00:00"/>
    <s v="AUTO ELETRICA E PEÇAS VIADUTO "/>
    <x v="6"/>
    <x v="21"/>
    <s v="Materiais"/>
    <s v="AGEO - GERAL"/>
    <s v="SANTANDER"/>
    <m/>
    <n v="790"/>
  </r>
  <r>
    <x v="0"/>
    <d v="2026-01-16T00:00:00"/>
    <s v="REEMBOLSO"/>
    <x v="0"/>
    <x v="29"/>
    <s v="REEMBOLSO"/>
    <s v="TECNOMONTE"/>
    <s v="SANTANDER"/>
    <n v="270"/>
    <m/>
  </r>
  <r>
    <x v="0"/>
    <d v="2026-01-16T00:00:00"/>
    <s v="RESCISÃO DO CONTRATO DE TRABALHO"/>
    <x v="2"/>
    <x v="2"/>
    <s v="DOUGLAS GOMES ARAUJO"/>
    <s v="AGEO - BACIA 10"/>
    <s v="SANTANDER"/>
    <m/>
    <n v="1059.05"/>
  </r>
  <r>
    <x v="0"/>
    <d v="2026-01-16T00:00:00"/>
    <s v="RESCISÃO DO CONTRATO DE TRABALHO"/>
    <x v="2"/>
    <x v="2"/>
    <s v="JONATHAN HILARIO LIMA"/>
    <s v="AGEO - BACIA 10"/>
    <s v="SANTANDER"/>
    <m/>
    <n v="1525.63"/>
  </r>
  <r>
    <x v="0"/>
    <d v="2026-01-16T00:00:00"/>
    <s v="RESCISÃO DO CONTRATO DE TRABALHO"/>
    <x v="2"/>
    <x v="2"/>
    <s v="NICOLAS SILVEIRA SOUSA"/>
    <s v="AGEO - BACIA 10"/>
    <s v="SANTANDER"/>
    <m/>
    <n v="1696.77"/>
  </r>
  <r>
    <x v="0"/>
    <d v="2026-01-16T00:00:00"/>
    <s v="RESCISÃO DO CONTRATO DE TRABALHO"/>
    <x v="2"/>
    <x v="2"/>
    <s v="ANDERSON SANTOS ALBERTO "/>
    <s v="AGEO - BACIA 10"/>
    <s v="SANTANDER"/>
    <m/>
    <n v="8903.89"/>
  </r>
  <r>
    <x v="0"/>
    <d v="2026-01-16T00:00:00"/>
    <s v="RESCISÃO DO CONTRATO DE TRABALHO"/>
    <x v="2"/>
    <x v="2"/>
    <s v="MARCELO MARTINS DE LO SANTOS"/>
    <s v="AGEO - BACIA 10"/>
    <s v="SANTANDER"/>
    <m/>
    <n v="1341.98"/>
  </r>
  <r>
    <x v="0"/>
    <d v="2026-01-16T00:00:00"/>
    <s v="BANCO SANTANDER"/>
    <x v="3"/>
    <x v="3"/>
    <s v="TARIFAS"/>
    <s v="TECNOMONTE"/>
    <s v="SANTANDER"/>
    <m/>
    <n v="4.96"/>
  </r>
  <r>
    <x v="0"/>
    <d v="2026-01-19T00:00:00"/>
    <s v="UBIRAJARA FELIX DA SILVA"/>
    <x v="4"/>
    <x v="20"/>
    <s v="Manutenção Ar Condicionado"/>
    <s v="AGEO - GERAL"/>
    <s v="SANTANDER"/>
    <m/>
    <n v="550"/>
  </r>
  <r>
    <x v="0"/>
    <d v="2026-01-19T00:00:00"/>
    <s v="BANCO SANTANDER"/>
    <x v="3"/>
    <x v="3"/>
    <s v="TARIFAS"/>
    <s v="TECNOMONTE"/>
    <s v="SANTANDER"/>
    <m/>
    <n v="19.25"/>
  </r>
  <r>
    <x v="0"/>
    <d v="2026-01-19T00:00:00"/>
    <s v="BANCO SANTANDER"/>
    <x v="3"/>
    <x v="3"/>
    <s v="TARIFAS"/>
    <s v="TECNOMONTE"/>
    <s v="SANTANDER"/>
    <m/>
    <n v="3.85"/>
  </r>
  <r>
    <x v="0"/>
    <d v="2026-01-19T00:00:00"/>
    <s v="EPP CONSUTORIA - EDUARDO PINHEIRO"/>
    <x v="1"/>
    <x v="30"/>
    <s v="NR's"/>
    <s v="CESARI - CUBATÃO"/>
    <s v="SANTANDER"/>
    <m/>
    <n v="1400"/>
  </r>
  <r>
    <x v="0"/>
    <d v="2026-01-19T00:00:00"/>
    <s v="VR BENEFICIOS"/>
    <x v="1"/>
    <x v="13"/>
    <s v="Cartão Alimentação "/>
    <s v="AGEO - GERAL"/>
    <s v="SANTANDER"/>
    <m/>
    <n v="9.1"/>
  </r>
  <r>
    <x v="0"/>
    <d v="2026-01-20T00:00:00"/>
    <s v="ALEXANDRE MARCATO - ADTECH ENERGIA "/>
    <x v="5"/>
    <x v="31"/>
    <s v="Honorários Acordo"/>
    <s v="SMALL - PRESIDENTE PRUDENTE"/>
    <s v="SANTANDER"/>
    <m/>
    <n v="1991.38"/>
  </r>
  <r>
    <x v="0"/>
    <d v="2026-01-20T00:00:00"/>
    <s v="ALEXANDRE MARCATO - ADTECH ENERGIA "/>
    <x v="5"/>
    <x v="31"/>
    <s v="Serviços Prestados - Acordo"/>
    <s v="SMALL - PRESIDENTE PRUDENTE"/>
    <s v="SANTANDER"/>
    <m/>
    <n v="17922.439999999999"/>
  </r>
  <r>
    <x v="0"/>
    <d v="2026-01-20T00:00:00"/>
    <s v="DJENANE KELLY OLIVEIRA HOPPE DE GOES - FRANCISCO OTO FERREIRA "/>
    <x v="5"/>
    <x v="31"/>
    <s v="Alojamento"/>
    <s v="BJ TRR - PIEDADE"/>
    <s v="SANTANDER"/>
    <m/>
    <n v="8000"/>
  </r>
  <r>
    <x v="0"/>
    <d v="2026-01-20T00:00:00"/>
    <s v="TECNOMIL - DANILO BIGNARDI"/>
    <x v="5"/>
    <x v="31"/>
    <s v="Calandra"/>
    <s v="INPASA - SIDRÔLANDIA"/>
    <s v="SANTANDER"/>
    <m/>
    <n v="18000"/>
  </r>
  <r>
    <x v="0"/>
    <d v="2026-01-20T00:00:00"/>
    <s v="TECNOMIL - DANILO BIGNARDI"/>
    <x v="5"/>
    <x v="31"/>
    <s v="Honorários Acordo"/>
    <s v="INPASA - SIDRÔLANDIA"/>
    <s v="SANTANDER"/>
    <m/>
    <n v="5000"/>
  </r>
  <r>
    <x v="0"/>
    <d v="2026-01-20T00:00:00"/>
    <s v="NERI E NERI - CANTINA  LTDA - ME"/>
    <x v="6"/>
    <x v="32"/>
    <s v="Refeição"/>
    <s v="AGEO - GERAL"/>
    <s v="SANTANDER"/>
    <m/>
    <n v="6290.5"/>
  </r>
  <r>
    <x v="0"/>
    <d v="2026-01-20T00:00:00"/>
    <s v="FIBRA ADMINISTRAÇÃO DE BENS E SERVIÇOS"/>
    <x v="4"/>
    <x v="6"/>
    <s v="Assessoria Financeira"/>
    <s v="TECNOMONTE"/>
    <s v="SANTANDER"/>
    <m/>
    <n v="4950"/>
  </r>
  <r>
    <x v="0"/>
    <d v="2026-01-20T00:00:00"/>
    <s v="AUTORIDADE PORTUARIA DE SANTOS"/>
    <x v="1"/>
    <x v="33"/>
    <s v="Crachás"/>
    <s v="AGEO - BACIA 10"/>
    <s v="SANTANDER"/>
    <m/>
    <n v="39.36"/>
  </r>
  <r>
    <x v="0"/>
    <d v="2026-01-20T00:00:00"/>
    <s v="AUTORIDADE PORTUARIA DE SANTOS"/>
    <x v="1"/>
    <x v="33"/>
    <s v="Crachás"/>
    <s v="AGEO - BACIA 10"/>
    <s v="SANTANDER"/>
    <m/>
    <n v="39.36"/>
  </r>
  <r>
    <x v="0"/>
    <d v="2026-01-20T00:00:00"/>
    <s v="AUTORIDADE PORTUARIA DE SANTOS"/>
    <x v="1"/>
    <x v="33"/>
    <s v="Crachás"/>
    <s v="AGEO - BACIA 10"/>
    <s v="SANTANDER"/>
    <m/>
    <n v="39.36"/>
  </r>
  <r>
    <x v="0"/>
    <d v="2026-01-20T00:00:00"/>
    <s v="DR DO BEM SERV ADMINISTRATIVOS"/>
    <x v="1"/>
    <x v="34"/>
    <s v="Exames Médico"/>
    <s v="AGEO - GERAL"/>
    <s v="SANTANDER"/>
    <m/>
    <n v="11950.7"/>
  </r>
  <r>
    <x v="0"/>
    <d v="2026-01-20T00:00:00"/>
    <s v="GRF - GUIA DE RECOLHIMENTO DO FGTS"/>
    <x v="1"/>
    <x v="35"/>
    <s v="Fgts"/>
    <s v="AGEO - GERAL"/>
    <s v="SANTANDER"/>
    <m/>
    <n v="15809.05"/>
  </r>
  <r>
    <x v="0"/>
    <d v="2026-01-20T00:00:00"/>
    <s v="GRF - GUIA DE RECOLHIMENTO DO FGTS"/>
    <x v="1"/>
    <x v="35"/>
    <s v="Fgts"/>
    <s v="AGEO - GERAL"/>
    <s v="SANTANDER"/>
    <m/>
    <n v="68907.149999999994"/>
  </r>
  <r>
    <x v="0"/>
    <d v="2026-01-20T00:00:00"/>
    <s v="GRF - GUIA DE RECOLHIMENTO DO FGTS"/>
    <x v="1"/>
    <x v="35"/>
    <s v="Fgts Décimo Terceiro"/>
    <s v="AGEO - GERAL"/>
    <s v="SANTANDER"/>
    <m/>
    <n v="22278.59"/>
  </r>
  <r>
    <x v="0"/>
    <d v="2026-01-20T00:00:00"/>
    <s v="BIBBIANA BERTOLACCINI VASCONCELOS"/>
    <x v="5"/>
    <x v="8"/>
    <s v="Trabalhista, Fiscal e Contratos "/>
    <s v="TECNOMONTE"/>
    <s v="SANTANDER"/>
    <m/>
    <n v="3500"/>
  </r>
  <r>
    <x v="0"/>
    <d v="2026-01-20T00:00:00"/>
    <s v="MARCELO HONORATO DOS SANTOS"/>
    <x v="3"/>
    <x v="25"/>
    <s v="Emprestimo"/>
    <s v="AGEO - GERAL"/>
    <s v="SANTANDER"/>
    <m/>
    <n v="20000"/>
  </r>
  <r>
    <x v="0"/>
    <d v="2026-01-20T00:00:00"/>
    <s v="FOLHA DE PAGAMENTO "/>
    <x v="2"/>
    <x v="12"/>
    <s v="Adiantamento de Salários - Vale"/>
    <s v="AGEO - BACIA 10"/>
    <s v="SANTANDER"/>
    <m/>
    <n v="241954.16"/>
  </r>
  <r>
    <x v="0"/>
    <d v="2026-01-20T00:00:00"/>
    <s v="FOLHA DE PAGAMENTO "/>
    <x v="2"/>
    <x v="12"/>
    <s v="Adiantamento de Salários - Vale"/>
    <s v="AGEO - GERAL"/>
    <s v="SANTANDER"/>
    <m/>
    <n v="94608.93"/>
  </r>
  <r>
    <x v="0"/>
    <d v="2026-01-20T00:00:00"/>
    <s v="BANCO BTG"/>
    <x v="0"/>
    <x v="4"/>
    <s v="TRANSFERÊNCIA ENTRE CONTAS"/>
    <s v="TRANSFERÊNCIA ENTRE CONTAS"/>
    <s v="SANTANDER"/>
    <n v="600000"/>
    <m/>
  </r>
  <r>
    <x v="0"/>
    <d v="2026-01-20T00:00:00"/>
    <s v="VALE TRANSPORTE"/>
    <x v="1"/>
    <x v="5"/>
    <s v="Passagem"/>
    <s v="AGEO - GERAL"/>
    <s v="SANTANDER"/>
    <m/>
    <n v="2101.4"/>
  </r>
  <r>
    <x v="0"/>
    <d v="2026-01-21T00:00:00"/>
    <s v="CENTRAL FERRAMENTAS LTDA - AZULÃO PARAFUSOS E FERRAMENTAS LTDA"/>
    <x v="5"/>
    <x v="31"/>
    <s v="Materiais"/>
    <s v="SMALL - CAMPO GRANDE"/>
    <s v="SANTANDER"/>
    <m/>
    <n v="10000"/>
  </r>
  <r>
    <x v="0"/>
    <d v="2026-01-21T00:00:00"/>
    <s v="CONSELHO REG. DE ENGENHARIA E AGRONO"/>
    <x v="6"/>
    <x v="36"/>
    <s v="ART"/>
    <s v="AGEO - GERAL"/>
    <s v="SANTANDER"/>
    <m/>
    <n v="2298.02"/>
  </r>
  <r>
    <x v="0"/>
    <d v="2026-01-21T00:00:00"/>
    <s v="CONSELHO REG. DE ENGENHARIA E AGRONO"/>
    <x v="6"/>
    <x v="36"/>
    <s v="ART"/>
    <s v="AGEO - GERAL"/>
    <s v="SANTANDER"/>
    <m/>
    <n v="108.39"/>
  </r>
  <r>
    <x v="0"/>
    <d v="2026-01-21T00:00:00"/>
    <s v="CPFL CIA PAULISTA DE FORÇA E LUZ"/>
    <x v="4"/>
    <x v="37"/>
    <s v="Escritório Santos - (Sala 15)"/>
    <s v="TECNOMONTE"/>
    <s v="SANTANDER"/>
    <m/>
    <n v="104.63"/>
  </r>
  <r>
    <x v="0"/>
    <d v="2026-01-21T00:00:00"/>
    <s v="CPFL CIA PAULISTA DE FORÇA E LUZ"/>
    <x v="4"/>
    <x v="37"/>
    <s v="Escritório Santos - (Sala 18)"/>
    <s v="TECNOMONTE"/>
    <s v="SANTANDER"/>
    <m/>
    <n v="114.12"/>
  </r>
  <r>
    <x v="0"/>
    <d v="2026-01-21T00:00:00"/>
    <s v="GRRF - GUIA DE RECOLHIMENTO RESCISÓRIO DO FGTS"/>
    <x v="1"/>
    <x v="1"/>
    <s v="JOEL MARQUES DA CRUZ"/>
    <s v="AGEO - BACIA 10"/>
    <s v="SANTANDER"/>
    <m/>
    <n v="1630.2"/>
  </r>
  <r>
    <x v="0"/>
    <d v="2026-01-21T00:00:00"/>
    <s v="GRRF - GUIA DE RECOLHIMENTO RESCISÓRIO DO FGTS"/>
    <x v="1"/>
    <x v="1"/>
    <s v="ALBERTO BARBOSA DOS SANTOS FILHO"/>
    <s v="AGEO - BACIA 10"/>
    <s v="SANTANDER"/>
    <m/>
    <n v="2573.11"/>
  </r>
  <r>
    <x v="0"/>
    <d v="2026-01-21T00:00:00"/>
    <s v="GRRF - GUIA DE RECOLHIMENTO RESCISÓRIO DO FGTS"/>
    <x v="1"/>
    <x v="1"/>
    <s v="VITOR SANTOS DA SILVA"/>
    <s v="AGEO - BACIA 10"/>
    <s v="SANTANDER"/>
    <m/>
    <n v="457.52"/>
  </r>
  <r>
    <x v="0"/>
    <d v="2026-01-21T00:00:00"/>
    <s v="EUROBRAS CONSTRUÇÕES METALICAS MODULADAS"/>
    <x v="6"/>
    <x v="19"/>
    <s v="Container"/>
    <s v="AGEO - GERAL"/>
    <s v="SANTANDER"/>
    <m/>
    <n v="2040.8"/>
  </r>
  <r>
    <x v="0"/>
    <d v="2026-01-21T00:00:00"/>
    <s v="CHEQUE SANTANDER"/>
    <x v="6"/>
    <x v="21"/>
    <s v="CHEQUE"/>
    <s v="TECNOMONTE"/>
    <s v="SANTANDER"/>
    <m/>
    <n v="5000"/>
  </r>
  <r>
    <x v="0"/>
    <d v="2026-01-21T00:00:00"/>
    <s v="TRIBUNAL REGIONAL DO TRABALHO"/>
    <x v="5"/>
    <x v="11"/>
    <s v="Andre Luiz Brancovan"/>
    <s v="TECNOMONTE"/>
    <s v="SANTANDER"/>
    <m/>
    <n v="2572.44"/>
  </r>
  <r>
    <x v="0"/>
    <d v="2026-01-21T00:00:00"/>
    <s v="TRIBUNAL REGIONAL DO TRABALHO"/>
    <x v="5"/>
    <x v="11"/>
    <s v="Manoel Josias da Silva"/>
    <s v="TECNOMONTE"/>
    <s v="SANTANDER"/>
    <m/>
    <n v="1200"/>
  </r>
  <r>
    <x v="0"/>
    <d v="2026-01-21T00:00:00"/>
    <s v="TRIBUNAL REGIONAL DO TRABALHO"/>
    <x v="5"/>
    <x v="11"/>
    <s v="Sergio Eduardo Luiz Silva"/>
    <s v="TECNOMONTE"/>
    <s v="SANTANDER"/>
    <m/>
    <n v="100.48"/>
  </r>
  <r>
    <x v="0"/>
    <d v="2026-01-21T00:00:00"/>
    <s v="BANCO DAYCOVAL"/>
    <x v="3"/>
    <x v="25"/>
    <s v="Processo nº 1112184-33.2024.8.26.0100 _x000a_Ação Monitória"/>
    <s v="TECNOMONTE"/>
    <s v="SANTANDER"/>
    <m/>
    <n v="8807.9699999999993"/>
  </r>
  <r>
    <x v="0"/>
    <d v="2026-01-21T00:00:00"/>
    <s v="BANCO DAYCOVAL"/>
    <x v="3"/>
    <x v="25"/>
    <s v="Processo nº 1107590-73.2024.8.26.0100 "/>
    <s v="TECNOMONTE"/>
    <s v="SANTANDER"/>
    <m/>
    <n v="10343.950000000001"/>
  </r>
  <r>
    <x v="0"/>
    <d v="2026-01-21T00:00:00"/>
    <s v="BANCO DAYCOVAL"/>
    <x v="3"/>
    <x v="25"/>
    <s v="Processo nº 1106702-07.2024.8.26.0100"/>
    <s v="TECNOMONTE"/>
    <s v="SANTANDER"/>
    <m/>
    <n v="32759.26"/>
  </r>
  <r>
    <x v="0"/>
    <d v="2026-01-21T00:00:00"/>
    <s v="RESCISÃO DO CONTRATO DE TRABALHO"/>
    <x v="2"/>
    <x v="2"/>
    <s v="JOEL MARQUES DA CRUZ"/>
    <s v="AGEO - BACIA 10"/>
    <s v="SANTANDER"/>
    <m/>
    <n v="4338.97"/>
  </r>
  <r>
    <x v="0"/>
    <d v="2026-01-21T00:00:00"/>
    <s v="RESCISÃO DO CONTRATO DE TRABALHO"/>
    <x v="2"/>
    <x v="2"/>
    <s v="ALBERTO BARBOSA DOS SANTOS FILHO"/>
    <s v="AGEO - BACIA 10"/>
    <s v="SANTANDER"/>
    <m/>
    <n v="14190.55"/>
  </r>
  <r>
    <x v="0"/>
    <d v="2026-01-21T00:00:00"/>
    <s v="RESCISÃO DO CONTRATO DE TRABALHO"/>
    <x v="2"/>
    <x v="2"/>
    <s v="VITOR SANTOS DA SILVA"/>
    <s v="AGEO - BACIA 10"/>
    <s v="SANTANDER"/>
    <m/>
    <n v="1570.2"/>
  </r>
  <r>
    <x v="0"/>
    <d v="2026-01-21T00:00:00"/>
    <s v="GENCONS TERRASSOS EMP. IMOB. LTDA"/>
    <x v="0"/>
    <x v="23"/>
    <s v="Lote H-20 - (Condomínio Terrassos)"/>
    <s v="ANDRÉIA - PARTICULAR"/>
    <s v="SANTANDER"/>
    <m/>
    <n v="9964.31"/>
  </r>
  <r>
    <x v="0"/>
    <d v="2026-01-21T00:00:00"/>
    <s v="GENCONS TERRASSOS EMP. IMOB. LTDA"/>
    <x v="0"/>
    <x v="23"/>
    <s v="Lote H-21 - (Condomínio Terrassos)"/>
    <s v="ANDRÉIA - PARTICULAR"/>
    <s v="SANTANDER"/>
    <m/>
    <n v="9004.4599999999991"/>
  </r>
  <r>
    <x v="0"/>
    <d v="2026-01-21T00:00:00"/>
    <s v="CPFL CIA PAULISTA DE FORÇA E LUZ"/>
    <x v="0"/>
    <x v="23"/>
    <s v="Rua Argeo Piva, 683 Casa 05 - CEP: 13140-762"/>
    <s v="ANDRÉIA - PARTICULAR"/>
    <s v="SANTANDER"/>
    <m/>
    <n v="837.59"/>
  </r>
  <r>
    <x v="0"/>
    <d v="2026-01-21T00:00:00"/>
    <s v="MATHEUS HENRIQUE DE LIRA BARBOSA "/>
    <x v="2"/>
    <x v="12"/>
    <s v="Pagamento de Salários"/>
    <s v="AGEO - GERAL"/>
    <s v="SANTANDER"/>
    <m/>
    <n v="724.36"/>
  </r>
  <r>
    <x v="0"/>
    <d v="2026-01-21T00:00:00"/>
    <s v="LUIZ EDUARDO DE OLIVEIRA HENRIQUE "/>
    <x v="2"/>
    <x v="12"/>
    <s v="Pagamento de Salários"/>
    <s v="AGEO - GERAL"/>
    <s v="SANTANDER"/>
    <m/>
    <n v="186.66"/>
  </r>
  <r>
    <x v="0"/>
    <d v="2026-01-21T00:00:00"/>
    <s v="BANCO SANTANDER"/>
    <x v="3"/>
    <x v="3"/>
    <s v="TARIFAS"/>
    <s v="TECNOMONTE"/>
    <s v="SANTANDER"/>
    <m/>
    <n v="54"/>
  </r>
  <r>
    <x v="0"/>
    <d v="2026-01-21T00:00:00"/>
    <s v="BANCO SANTANDER"/>
    <x v="3"/>
    <x v="3"/>
    <s v="TARIFAS"/>
    <s v="TECNOMONTE"/>
    <s v="SANTANDER"/>
    <m/>
    <n v="42.35"/>
  </r>
  <r>
    <x v="0"/>
    <d v="2026-01-21T00:00:00"/>
    <s v="BANCO SANTANDER"/>
    <x v="3"/>
    <x v="3"/>
    <s v="TARIFAS"/>
    <s v="TECNOMONTE"/>
    <s v="SANTANDER"/>
    <m/>
    <n v="32.5"/>
  </r>
  <r>
    <x v="0"/>
    <d v="2026-01-21T00:00:00"/>
    <s v="BANCO SANTANDER"/>
    <x v="3"/>
    <x v="3"/>
    <s v="TARIFAS"/>
    <s v="TECNOMONTE"/>
    <s v="SANTANDER"/>
    <m/>
    <n v="227.5"/>
  </r>
  <r>
    <x v="0"/>
    <d v="2026-01-21T00:00:00"/>
    <s v="BANCO BTG"/>
    <x v="0"/>
    <x v="4"/>
    <s v="TRANSFERÊNCIA ENTRE CONTAS"/>
    <s v="TRANSFERÊNCIA ENTRE CONTAS"/>
    <s v="SANTANDER"/>
    <n v="55000"/>
    <m/>
  </r>
  <r>
    <x v="0"/>
    <d v="2026-01-21T00:00:00"/>
    <s v="JUCELIO FERREIRA DE LUNA"/>
    <x v="1"/>
    <x v="30"/>
    <s v="NR's"/>
    <s v="CESARI - CUBATÃO"/>
    <s v="SANTANDER"/>
    <m/>
    <n v="800"/>
  </r>
  <r>
    <x v="0"/>
    <d v="2026-01-21T00:00:00"/>
    <s v="VALE TRANSPORTE"/>
    <x v="1"/>
    <x v="5"/>
    <s v="Passagem"/>
    <s v="CESARI - CUBATÃO"/>
    <s v="SANTANDER"/>
    <m/>
    <n v="2072.1999999999998"/>
  </r>
  <r>
    <x v="0"/>
    <d v="2026-01-22T00:00:00"/>
    <s v="BANCO SANTANDER"/>
    <x v="3"/>
    <x v="3"/>
    <s v="TARIFAS"/>
    <s v="TECNOMONTE"/>
    <s v="SANTANDER"/>
    <m/>
    <n v="54"/>
  </r>
  <r>
    <x v="0"/>
    <d v="2026-01-22T00:00:00"/>
    <s v="BANCO SANTANDER"/>
    <x v="3"/>
    <x v="3"/>
    <s v="TARIFAS"/>
    <s v="TECNOMONTE"/>
    <s v="SANTANDER"/>
    <m/>
    <n v="27.96"/>
  </r>
  <r>
    <x v="0"/>
    <d v="2026-01-22T00:00:00"/>
    <s v="BANCO SANTANDER"/>
    <x v="3"/>
    <x v="3"/>
    <s v="TARIFAS"/>
    <s v="TECNOMONTE"/>
    <s v="SANTANDER"/>
    <m/>
    <n v="2.6"/>
  </r>
  <r>
    <x v="0"/>
    <d v="2026-01-22T00:00:00"/>
    <s v="BANCO SANTANDER"/>
    <x v="3"/>
    <x v="3"/>
    <s v="TARIFAS"/>
    <s v="TECNOMONTE"/>
    <s v="SANTANDER"/>
    <m/>
    <n v="6.5"/>
  </r>
  <r>
    <x v="0"/>
    <d v="2026-01-22T00:00:00"/>
    <s v="CLARO"/>
    <x v="4"/>
    <x v="38"/>
    <s v="CELULAR"/>
    <s v="TECNOMONTE"/>
    <s v="SANTANDER"/>
    <m/>
    <n v="257.8"/>
  </r>
  <r>
    <x v="0"/>
    <d v="2026-01-23T00:00:00"/>
    <s v="DAIANE ASSIS DA CRUZ DUARTE"/>
    <x v="0"/>
    <x v="29"/>
    <s v="REEMBOLSO"/>
    <s v="CESARI - CUBATÃO"/>
    <s v="SANTANDER"/>
    <m/>
    <n v="120"/>
  </r>
  <r>
    <x v="0"/>
    <d v="2026-01-23T00:00:00"/>
    <s v="BANCO SANTANDER"/>
    <x v="3"/>
    <x v="3"/>
    <s v="TARIFAS"/>
    <s v="TECNOMONTE"/>
    <s v="SANTANDER"/>
    <m/>
    <n v="3.85"/>
  </r>
  <r>
    <x v="0"/>
    <d v="2026-01-23T00:00:00"/>
    <s v="VR BENEFICIOS"/>
    <x v="1"/>
    <x v="13"/>
    <s v="Cartão Alimentação "/>
    <s v="AGEO - GERAL"/>
    <s v="SANTANDER"/>
    <m/>
    <n v="0.01"/>
  </r>
  <r>
    <x v="0"/>
    <d v="2026-01-23T00:00:00"/>
    <s v="VALE TRANSPORTE"/>
    <x v="1"/>
    <x v="5"/>
    <s v="Passagem"/>
    <s v="AGEO - GERAL"/>
    <s v="SANTANDER"/>
    <m/>
    <n v="144"/>
  </r>
  <r>
    <x v="0"/>
    <d v="2026-01-26T00:00:00"/>
    <s v="ANDREIA UPENECK"/>
    <x v="0"/>
    <x v="0"/>
    <s v="TRANSFERÊNCIA ENTRE CONTAS"/>
    <s v="TRANSFERÊNCIA ENTRE CONTAS"/>
    <s v="SANTANDER"/>
    <n v="33000"/>
    <m/>
  </r>
  <r>
    <x v="0"/>
    <d v="2026-01-26T00:00:00"/>
    <s v="BLOQUEIO JUDICIAL"/>
    <x v="5"/>
    <x v="39"/>
    <s v="BLOQUEIO"/>
    <s v="TECNOMONTE"/>
    <s v="SANTANDER"/>
    <m/>
    <n v="807.7"/>
  </r>
  <r>
    <x v="0"/>
    <d v="2026-01-26T00:00:00"/>
    <s v="BANCO SANTANDER"/>
    <x v="3"/>
    <x v="3"/>
    <s v="TARIFAS"/>
    <s v="TECNOMONTE"/>
    <s v="SANTANDER"/>
    <m/>
    <n v="2.46"/>
  </r>
  <r>
    <x v="0"/>
    <d v="2026-01-26T00:00:00"/>
    <s v="BANCO BTG"/>
    <x v="0"/>
    <x v="4"/>
    <s v="TRANSFERÊNCIA ENTRE CONTAS"/>
    <s v="TRANSFERÊNCIA ENTRE CONTAS"/>
    <s v="SANTANDER"/>
    <n v="8800"/>
    <m/>
  </r>
  <r>
    <x v="0"/>
    <d v="2026-01-27T00:00:00"/>
    <s v="ROSEMARY PIZZINI SOARES - VICTOR TOBAR SOARES"/>
    <x v="4"/>
    <x v="40"/>
    <s v="Escritório  Santos - (Sala 18)"/>
    <s v="TECNOMONTE"/>
    <s v="SANTANDER"/>
    <m/>
    <n v="2614.94"/>
  </r>
  <r>
    <x v="0"/>
    <d v="2026-01-27T00:00:00"/>
    <s v="ROSEMARY PIZZINI SOARES - VICTOR TOBAR SOARES"/>
    <x v="4"/>
    <x v="40"/>
    <s v="Escritório  Santos - (Sala 15)"/>
    <s v="TECNOMONTE"/>
    <s v="SANTANDER"/>
    <m/>
    <n v="1020.66"/>
  </r>
  <r>
    <x v="0"/>
    <d v="2026-01-27T00:00:00"/>
    <s v="RECIBO DE FÉRIAS"/>
    <x v="2"/>
    <x v="7"/>
    <s v="ROSIEL SOUZA DOS SANTOS"/>
    <s v="AGEO - GERAL"/>
    <s v="SANTANDER"/>
    <m/>
    <n v="5450.92"/>
  </r>
  <r>
    <x v="0"/>
    <d v="2026-01-27T00:00:00"/>
    <s v="GRRF - GUIA DE RECOLHIMENTO RESCISÓRIO DO FGTS"/>
    <x v="1"/>
    <x v="1"/>
    <s v="RENATO CORREIA GUIMARÃES"/>
    <s v="AGEO - BACIA 10"/>
    <s v="SANTANDER"/>
    <m/>
    <n v="914.27"/>
  </r>
  <r>
    <x v="0"/>
    <d v="2026-01-27T00:00:00"/>
    <s v="GRRF - GUIA DE RECOLHIMENTO RESCISÓRIO DO FGTS"/>
    <x v="1"/>
    <x v="1"/>
    <s v="JOSE IDELVANIO ALEXANDRE"/>
    <s v="AGEO - BACIA 10"/>
    <s v="SANTANDER"/>
    <m/>
    <n v="1160.98"/>
  </r>
  <r>
    <x v="0"/>
    <d v="2026-01-27T00:00:00"/>
    <s v="GRRF - GUIA DE RECOLHIMENTO RESCISÓRIO DO FGTS"/>
    <x v="1"/>
    <x v="1"/>
    <s v="HELDER DE SOUSA COSTA"/>
    <s v="AGEO - HH"/>
    <s v="SANTANDER"/>
    <m/>
    <n v="2186.2600000000002"/>
  </r>
  <r>
    <x v="0"/>
    <d v="2026-01-27T00:00:00"/>
    <s v="GOVERNO DO ESTADO DE SÃO PAULO"/>
    <x v="8"/>
    <x v="41"/>
    <s v="Darf"/>
    <s v="TECNOMONTE"/>
    <s v="SANTANDER"/>
    <m/>
    <n v="461.04"/>
  </r>
  <r>
    <x v="0"/>
    <d v="2026-01-27T00:00:00"/>
    <s v="TRIBUNAL REGIONAL DO TRABALHO"/>
    <x v="5"/>
    <x v="11"/>
    <s v="Rafael Massano Marano"/>
    <s v="TECNOMONTE"/>
    <s v="SANTANDER"/>
    <m/>
    <n v="6624.09"/>
  </r>
  <r>
    <x v="0"/>
    <d v="2026-01-27T00:00:00"/>
    <s v="PRO3D TECNOLOGIA E SERVIÇOS LTDA"/>
    <x v="6"/>
    <x v="42"/>
    <s v="Projeto"/>
    <s v="AGEO - GERAL"/>
    <s v="SANTANDER"/>
    <m/>
    <n v="6000"/>
  </r>
  <r>
    <x v="0"/>
    <d v="2026-01-27T00:00:00"/>
    <s v="RESCISÃO DO CONTRATO DE TRABALHO"/>
    <x v="2"/>
    <x v="2"/>
    <s v="RENATO CORREIA GUIMARÃES"/>
    <s v="AGEO - BACIA 10"/>
    <s v="SANTANDER"/>
    <m/>
    <n v="4695.9399999999996"/>
  </r>
  <r>
    <x v="0"/>
    <d v="2026-01-27T00:00:00"/>
    <s v="RESCISÃO DO CONTRATO DE TRABALHO"/>
    <x v="2"/>
    <x v="2"/>
    <s v="JOSE IDELVANIO ALEXANDRE"/>
    <s v="AGEO - BACIA 10"/>
    <s v="SANTANDER"/>
    <m/>
    <n v="5187.72"/>
  </r>
  <r>
    <x v="0"/>
    <d v="2026-01-27T00:00:00"/>
    <s v="RESCISÃO DO CONTRATO DE TRABALHO"/>
    <x v="2"/>
    <x v="2"/>
    <s v="HELDER DE SOUSA COSTA"/>
    <s v="AGEO - HH"/>
    <s v="SANTANDER"/>
    <m/>
    <n v="4756.58"/>
  </r>
  <r>
    <x v="0"/>
    <d v="2026-01-27T00:00:00"/>
    <s v="VR BENEFICIOS"/>
    <x v="1"/>
    <x v="13"/>
    <s v="Cartão Alimentação "/>
    <s v="AGEO - GERAL"/>
    <s v="SANTANDER"/>
    <m/>
    <n v="0.02"/>
  </r>
  <r>
    <x v="0"/>
    <d v="2026-01-27T00:00:00"/>
    <s v="VALE TRANSPORTE"/>
    <x v="1"/>
    <x v="5"/>
    <s v="Passagem"/>
    <s v="AGEO - GERAL"/>
    <s v="SANTANDER"/>
    <m/>
    <n v="239.4"/>
  </r>
  <r>
    <x v="0"/>
    <d v="2026-01-28T00:00:00"/>
    <s v="ANDREIA UPENECK"/>
    <x v="0"/>
    <x v="0"/>
    <s v="TRANSFERÊNCIA ENTRE CONTAS"/>
    <s v="TRANSFERÊNCIA ENTRE CONTAS"/>
    <s v="SANTANDER"/>
    <n v="2000"/>
    <m/>
  </r>
  <r>
    <x v="0"/>
    <d v="2026-01-28T00:00:00"/>
    <s v="TECNOPONTO TEC. AVANÇADA EM CONTROLE DE PONTO DE ACESSO"/>
    <x v="7"/>
    <x v="43"/>
    <s v="Relógio Ponto"/>
    <s v="TECNOMONTE"/>
    <s v="SANTANDER"/>
    <m/>
    <n v="1060.05"/>
  </r>
  <r>
    <x v="0"/>
    <d v="2026-01-28T00:00:00"/>
    <s v="BANCO SANTANDER"/>
    <x v="3"/>
    <x v="3"/>
    <s v="TARIFAS"/>
    <s v="TECNOMONTE"/>
    <s v="SANTANDER"/>
    <m/>
    <n v="20.61"/>
  </r>
  <r>
    <x v="0"/>
    <d v="2026-01-29T00:00:00"/>
    <s v="ANDREIA UPENECK"/>
    <x v="0"/>
    <x v="0"/>
    <s v="TRANSFERÊNCIA ENTRE CONTAS"/>
    <s v="TRANSFERÊNCIA ENTRE CONTAS"/>
    <s v="SANTANDER"/>
    <n v="46000"/>
    <m/>
  </r>
  <r>
    <x v="0"/>
    <d v="2026-01-29T00:00:00"/>
    <s v="ANDREIA UPENECK"/>
    <x v="0"/>
    <x v="0"/>
    <s v="TRANSFERÊNCIA ENTRE CONTAS"/>
    <s v="TRANSFERÊNCIA ENTRE CONTAS"/>
    <s v="SANTANDER"/>
    <n v="18000"/>
    <m/>
  </r>
  <r>
    <x v="0"/>
    <d v="2026-01-29T00:00:00"/>
    <s v="CENPROT SP - CENTRAL DE PROTESTOS"/>
    <x v="4"/>
    <x v="44"/>
    <s v="CERTIDÃO CARTÓRIO"/>
    <s v="TECNOMONTE"/>
    <s v="SANTANDER"/>
    <m/>
    <n v="59.07"/>
  </r>
  <r>
    <x v="0"/>
    <d v="2026-01-29T00:00:00"/>
    <s v="STI DA CONSTRUÇÃO E DO IMOBILIARIO DE SANTOS"/>
    <x v="1"/>
    <x v="45"/>
    <s v="Sindicato"/>
    <s v="TECNOMONTE"/>
    <s v="SANTANDER"/>
    <m/>
    <n v="1073.2"/>
  </r>
  <r>
    <x v="0"/>
    <d v="2026-01-29T00:00:00"/>
    <s v="GRRF - GUIA DE RECOLHIMENTO RESCISÓRIO DO FGTS"/>
    <x v="1"/>
    <x v="1"/>
    <s v="CLAUDIO MAXIMO DA SILVA"/>
    <s v="AGEO - HH"/>
    <s v="SANTANDER"/>
    <m/>
    <n v="772.69"/>
  </r>
  <r>
    <x v="0"/>
    <d v="2026-01-29T00:00:00"/>
    <s v="GRRF - GUIA DE RECOLHIMENTO RESCISÓRIO DO FGTS"/>
    <x v="1"/>
    <x v="1"/>
    <s v="EVERTON TRIGO SENA"/>
    <s v="AGEO - HH"/>
    <s v="SANTANDER"/>
    <m/>
    <n v="445.63"/>
  </r>
  <r>
    <x v="0"/>
    <d v="2026-01-29T00:00:00"/>
    <s v="BIGNET"/>
    <x v="4"/>
    <x v="46"/>
    <s v="Internet"/>
    <s v="TECNOMONTE"/>
    <s v="SANTANDER"/>
    <m/>
    <n v="258"/>
  </r>
  <r>
    <x v="0"/>
    <d v="2026-01-29T00:00:00"/>
    <s v="EUROBRAS CONSTRUÇÕES METALICAS MODULADAS"/>
    <x v="6"/>
    <x v="19"/>
    <s v="Container"/>
    <s v="AGEO - GERAL"/>
    <s v="SANTANDER"/>
    <m/>
    <n v="1100"/>
  </r>
  <r>
    <x v="0"/>
    <d v="2026-01-29T00:00:00"/>
    <s v="JATEAMENTO E PINTURA LTDA"/>
    <x v="6"/>
    <x v="19"/>
    <s v="Jato"/>
    <s v="AGEO - BACIA 10"/>
    <s v="SANTANDER"/>
    <m/>
    <n v="3000"/>
  </r>
  <r>
    <x v="0"/>
    <d v="2026-01-29T00:00:00"/>
    <s v="DOCUMENTO DE ARRECADAÇÃO DE RECEITAS FEDERAIS - DARF"/>
    <x v="8"/>
    <x v="41"/>
    <s v="Dívida Ativa"/>
    <s v="TECNOMONTE"/>
    <s v="SANTANDER"/>
    <m/>
    <n v="106.38"/>
  </r>
  <r>
    <x v="0"/>
    <d v="2026-01-29T00:00:00"/>
    <s v="DOCUMENTO DE ARRECADAÇÃO DE RECEITAS FEDERAIS - DARF"/>
    <x v="8"/>
    <x v="41"/>
    <s v="Dívida Ativa"/>
    <s v="TECNOMONTE"/>
    <s v="SANTANDER"/>
    <m/>
    <n v="111.34"/>
  </r>
  <r>
    <x v="0"/>
    <d v="2026-01-29T00:00:00"/>
    <s v="DOCUMENTO DE ARRECADAÇÃO DE RECEITAS FEDERAIS - DARF"/>
    <x v="8"/>
    <x v="41"/>
    <s v="Dívida Ativa"/>
    <s v="TECNOMONTE"/>
    <s v="SANTANDER"/>
    <m/>
    <n v="717.9"/>
  </r>
  <r>
    <x v="0"/>
    <d v="2026-01-29T00:00:00"/>
    <s v="DOCUMENTO DE ARRECADAÇÃO DE RECEITAS FEDERAIS - DARF"/>
    <x v="8"/>
    <x v="41"/>
    <s v="Dívida Ativa"/>
    <s v="TECNOMONTE"/>
    <s v="SANTANDER"/>
    <m/>
    <n v="824.25"/>
  </r>
  <r>
    <x v="0"/>
    <d v="2026-01-29T00:00:00"/>
    <s v="DOCUMENTO DE ARRECADAÇÃO DE RECEITAS FEDERAIS - DARF"/>
    <x v="8"/>
    <x v="41"/>
    <s v="Dívida Ativa"/>
    <s v="TECNOMONTE"/>
    <s v="SANTANDER"/>
    <m/>
    <n v="837.86"/>
  </r>
  <r>
    <x v="0"/>
    <d v="2026-01-29T00:00:00"/>
    <s v="DOCUMENTO DE ARRECADAÇÃO DE RECEITAS FEDERAIS - DARF"/>
    <x v="8"/>
    <x v="41"/>
    <s v="Dívida Ativa"/>
    <s v="TECNOMONTE"/>
    <s v="SANTANDER"/>
    <m/>
    <n v="890.87"/>
  </r>
  <r>
    <x v="0"/>
    <d v="2026-01-29T00:00:00"/>
    <s v="DOCUMENTO DE ARRECADAÇÃO DE RECEITAS FEDERAIS - DARF"/>
    <x v="8"/>
    <x v="41"/>
    <s v="Dívida Ativa"/>
    <s v="TECNOMONTE"/>
    <s v="SANTANDER"/>
    <m/>
    <n v="901.75"/>
  </r>
  <r>
    <x v="0"/>
    <d v="2026-01-29T00:00:00"/>
    <s v="DOCUMENTO DE ARRECADAÇÃO DE RECEITAS FEDERAIS - DARF"/>
    <x v="8"/>
    <x v="41"/>
    <s v="Dívida Ativa"/>
    <s v="TECNOMONTE"/>
    <s v="SANTANDER"/>
    <m/>
    <n v="947.19"/>
  </r>
  <r>
    <x v="0"/>
    <d v="2026-01-29T00:00:00"/>
    <s v="DOCUMENTO DE ARRECADAÇÃO DE RECEITAS FEDERAIS - DARF"/>
    <x v="8"/>
    <x v="41"/>
    <s v="Dívida Ativa"/>
    <s v="TECNOMONTE"/>
    <s v="SANTANDER"/>
    <m/>
    <n v="947.68"/>
  </r>
  <r>
    <x v="0"/>
    <d v="2026-01-29T00:00:00"/>
    <s v="DOCUMENTO DE ARRECADAÇÃO DE RECEITAS FEDERAIS - DARF"/>
    <x v="8"/>
    <x v="41"/>
    <s v="Dívida Ativa"/>
    <s v="TECNOMONTE"/>
    <s v="SANTANDER"/>
    <m/>
    <n v="948.51"/>
  </r>
  <r>
    <x v="0"/>
    <d v="2026-01-29T00:00:00"/>
    <s v="DOCUMENTO DE ARRECADAÇÃO DE RECEITAS FEDERAIS - DARF"/>
    <x v="8"/>
    <x v="41"/>
    <s v="Dívida Ativa"/>
    <s v="TECNOMONTE"/>
    <s v="SANTANDER"/>
    <m/>
    <n v="331.36"/>
  </r>
  <r>
    <x v="0"/>
    <d v="2026-01-29T00:00:00"/>
    <s v="DOCUMENTO DE ARRECADAÇÃO DE RECEITAS FEDERAIS - DARF"/>
    <x v="8"/>
    <x v="41"/>
    <s v="Dívida Ativa"/>
    <s v="TECNOMONTE"/>
    <s v="SANTANDER"/>
    <m/>
    <n v="374.1"/>
  </r>
  <r>
    <x v="0"/>
    <d v="2026-01-29T00:00:00"/>
    <s v="DOCUMENTO DE ARRECADAÇÃO DE RECEITAS FEDERAIS - DARF"/>
    <x v="8"/>
    <x v="41"/>
    <s v="Dívida Ativa"/>
    <s v="TECNOMONTE"/>
    <s v="SANTANDER"/>
    <m/>
    <n v="545.91999999999996"/>
  </r>
  <r>
    <x v="0"/>
    <d v="2026-01-29T00:00:00"/>
    <s v="DOCUMENTO DE ARRECADAÇÃO DE RECEITAS FEDERAIS - DARF"/>
    <x v="8"/>
    <x v="41"/>
    <s v="Dívida Ativa"/>
    <s v="TECNOMONTE"/>
    <s v="SANTANDER"/>
    <m/>
    <n v="798.35"/>
  </r>
  <r>
    <x v="0"/>
    <d v="2026-01-29T00:00:00"/>
    <s v="DOCUMENTO DE ARRECADAÇÃO DE RECEITAS FEDERAIS - DARF"/>
    <x v="8"/>
    <x v="41"/>
    <s v="Dívida Ativa"/>
    <s v="TECNOMONTE"/>
    <s v="SANTANDER"/>
    <m/>
    <n v="900.52"/>
  </r>
  <r>
    <x v="0"/>
    <d v="2026-01-29T00:00:00"/>
    <s v="DOCUMENTO DE ARRECADAÇÃO DE RECEITAS FEDERAIS - DARF"/>
    <x v="8"/>
    <x v="41"/>
    <s v="Dívida Ativa"/>
    <s v="TECNOMONTE"/>
    <s v="SANTANDER"/>
    <m/>
    <n v="911.16"/>
  </r>
  <r>
    <x v="0"/>
    <d v="2026-01-29T00:00:00"/>
    <s v="DOCUMENTO DE ARRECADAÇÃO DE RECEITAS FEDERAIS - DARF"/>
    <x v="8"/>
    <x v="41"/>
    <s v="Dívida Ativa"/>
    <s v="TECNOMONTE"/>
    <s v="SANTANDER"/>
    <m/>
    <n v="929.1"/>
  </r>
  <r>
    <x v="0"/>
    <d v="2026-01-29T00:00:00"/>
    <s v="DOCUMENTO DE ARRECADAÇÃO DE RECEITAS FEDERAIS - DARF"/>
    <x v="8"/>
    <x v="41"/>
    <s v="Dívida Ativa"/>
    <s v="TECNOMONTE"/>
    <s v="SANTANDER"/>
    <m/>
    <n v="937.49"/>
  </r>
  <r>
    <x v="0"/>
    <d v="2026-01-29T00:00:00"/>
    <s v="DOCUMENTO DE ARRECADAÇÃO DE RECEITAS FEDERAIS - DARF"/>
    <x v="8"/>
    <x v="41"/>
    <s v="Dívida Ativa"/>
    <s v="TECNOMONTE"/>
    <s v="SANTANDER"/>
    <m/>
    <n v="945.84"/>
  </r>
  <r>
    <x v="0"/>
    <d v="2026-01-29T00:00:00"/>
    <s v="DOCUMENTO DE ARRECADAÇÃO DE RECEITAS FEDERAIS - DARF"/>
    <x v="8"/>
    <x v="41"/>
    <s v="Dívida Ativa"/>
    <s v="TECNOMONTE"/>
    <s v="SANTANDER"/>
    <m/>
    <n v="1529.54"/>
  </r>
  <r>
    <x v="0"/>
    <d v="2026-01-29T00:00:00"/>
    <s v="DOCUMENTO DE ARRECADAÇÃO DE RECEITAS FEDERAIS - DARF"/>
    <x v="8"/>
    <x v="41"/>
    <s v="Dívida Ativa"/>
    <s v="TECNOMONTE"/>
    <s v="SANTANDER"/>
    <m/>
    <n v="446.05"/>
  </r>
  <r>
    <x v="0"/>
    <d v="2026-01-29T00:00:00"/>
    <s v="DOCUMENTO DE ARRECADAÇÃO DE RECEITAS FEDERAIS - DARF"/>
    <x v="8"/>
    <x v="41"/>
    <s v="Dívida Ativa"/>
    <s v="TECNOMONTE"/>
    <s v="SANTANDER"/>
    <m/>
    <n v="474.22"/>
  </r>
  <r>
    <x v="0"/>
    <d v="2026-01-29T00:00:00"/>
    <s v="DOCUMENTO DE ARRECADAÇÃO DE RECEITAS FEDERAIS - DARF"/>
    <x v="8"/>
    <x v="41"/>
    <s v="Dívida Ativa"/>
    <s v="TECNOMONTE"/>
    <s v="SANTANDER"/>
    <m/>
    <n v="509.2"/>
  </r>
  <r>
    <x v="0"/>
    <d v="2026-01-29T00:00:00"/>
    <s v="DOCUMENTO DE ARRECADAÇÃO DE RECEITAS FEDERAIS - DARF"/>
    <x v="8"/>
    <x v="41"/>
    <s v="Dívida Ativa"/>
    <s v="TECNOMONTE"/>
    <s v="SANTANDER"/>
    <m/>
    <n v="514.91999999999996"/>
  </r>
  <r>
    <x v="0"/>
    <d v="2026-01-29T00:00:00"/>
    <s v="DOCUMENTO DE ARRECADAÇÃO DE RECEITAS FEDERAIS - DARF"/>
    <x v="8"/>
    <x v="41"/>
    <s v="Dívida Ativa"/>
    <s v="TECNOMONTE"/>
    <s v="SANTANDER"/>
    <m/>
    <n v="538.98"/>
  </r>
  <r>
    <x v="0"/>
    <d v="2026-01-29T00:00:00"/>
    <s v="DOCUMENTO DE ARRECADAÇÃO DE RECEITAS FEDERAIS - DARF"/>
    <x v="8"/>
    <x v="41"/>
    <s v="Dívida Ativa"/>
    <s v="TECNOMONTE"/>
    <s v="SANTANDER"/>
    <m/>
    <n v="646.80999999999995"/>
  </r>
  <r>
    <x v="0"/>
    <d v="2026-01-29T00:00:00"/>
    <s v="DOCUMENTO DE ARRECADAÇÃO DE RECEITAS FEDERAIS - DARF"/>
    <x v="8"/>
    <x v="41"/>
    <s v="Dívida Ativa"/>
    <s v="TECNOMONTE"/>
    <s v="SANTANDER"/>
    <m/>
    <n v="802.02"/>
  </r>
  <r>
    <x v="0"/>
    <d v="2026-01-29T00:00:00"/>
    <s v="DOCUMENTO DE ARRECADAÇÃO DE RECEITAS FEDERAIS - DARF"/>
    <x v="8"/>
    <x v="41"/>
    <s v="Dívida Ativa"/>
    <s v="TECNOMONTE"/>
    <s v="SANTANDER"/>
    <m/>
    <n v="829.69"/>
  </r>
  <r>
    <x v="0"/>
    <d v="2026-01-29T00:00:00"/>
    <s v="DOCUMENTO DE ARRECADAÇÃO DE RECEITAS FEDERAIS - DARF"/>
    <x v="8"/>
    <x v="41"/>
    <s v="Dívida Ativa"/>
    <s v="TECNOMONTE"/>
    <s v="SANTANDER"/>
    <m/>
    <n v="833.1"/>
  </r>
  <r>
    <x v="0"/>
    <d v="2026-01-29T00:00:00"/>
    <s v="DOCUMENTO DE ARRECADAÇÃO DE RECEITAS FEDERAIS - DARF"/>
    <x v="8"/>
    <x v="41"/>
    <s v="Dívida Ativa"/>
    <s v="TECNOMONTE"/>
    <s v="SANTANDER"/>
    <m/>
    <n v="934.13"/>
  </r>
  <r>
    <x v="0"/>
    <d v="2026-01-29T00:00:00"/>
    <s v="DOCUMENTO DE ARRECADAÇÃO DE RECEITAS FEDERAIS - DARF"/>
    <x v="8"/>
    <x v="41"/>
    <s v="Dívida Ativa"/>
    <s v="TECNOMONTE"/>
    <s v="SANTANDER"/>
    <m/>
    <n v="107.87"/>
  </r>
  <r>
    <x v="0"/>
    <d v="2026-01-29T00:00:00"/>
    <s v="DOCUMENTO DE ARRECADAÇÃO DE RECEITAS FEDERAIS - DARF"/>
    <x v="8"/>
    <x v="41"/>
    <s v="Dívida Ativa"/>
    <s v="TECNOMONTE"/>
    <s v="SANTANDER"/>
    <m/>
    <n v="122.23"/>
  </r>
  <r>
    <x v="0"/>
    <d v="2026-01-29T00:00:00"/>
    <s v="DOCUMENTO DE ARRECADAÇÃO DE RECEITAS FEDERAIS - DARF"/>
    <x v="8"/>
    <x v="41"/>
    <s v="Dívida Ativa"/>
    <s v="TECNOMONTE"/>
    <s v="SANTANDER"/>
    <m/>
    <n v="417.67"/>
  </r>
  <r>
    <x v="0"/>
    <d v="2026-01-29T00:00:00"/>
    <s v="DOCUMENTO DE ARRECADAÇÃO DE RECEITAS FEDERAIS - DARF"/>
    <x v="8"/>
    <x v="41"/>
    <s v="Dívida Ativa"/>
    <s v="TECNOMONTE"/>
    <s v="SANTANDER"/>
    <m/>
    <n v="429.35"/>
  </r>
  <r>
    <x v="0"/>
    <d v="2026-01-29T00:00:00"/>
    <s v="DOCUMENTO DE ARRECADAÇÃO DE RECEITAS FEDERAIS - DARF"/>
    <x v="8"/>
    <x v="41"/>
    <s v="Dívida Ativa"/>
    <s v="TECNOMONTE"/>
    <s v="SANTANDER"/>
    <m/>
    <n v="441.37"/>
  </r>
  <r>
    <x v="0"/>
    <d v="2026-01-29T00:00:00"/>
    <s v="DOCUMENTO DE ARRECADAÇÃO DE RECEITAS FEDERAIS - DARF"/>
    <x v="8"/>
    <x v="41"/>
    <s v="Dívida Ativa"/>
    <s v="TECNOMONTE"/>
    <s v="SANTANDER"/>
    <m/>
    <n v="689.29"/>
  </r>
  <r>
    <x v="0"/>
    <d v="2026-01-29T00:00:00"/>
    <s v="DOCUMENTO DE ARRECADAÇÃO DE RECEITAS FEDERAIS - DARF"/>
    <x v="8"/>
    <x v="41"/>
    <s v="Dívida Ativa"/>
    <s v="TECNOMONTE"/>
    <s v="SANTANDER"/>
    <m/>
    <n v="728.4"/>
  </r>
  <r>
    <x v="0"/>
    <d v="2026-01-29T00:00:00"/>
    <s v="DOCUMENTO DE ARRECADAÇÃO DE RECEITAS FEDERAIS - DARF"/>
    <x v="8"/>
    <x v="41"/>
    <s v="Dívida Ativa"/>
    <s v="TECNOMONTE"/>
    <s v="SANTANDER"/>
    <m/>
    <n v="985.84"/>
  </r>
  <r>
    <x v="0"/>
    <d v="2026-01-29T00:00:00"/>
    <s v="DOCUMENTO DE ARRECADAÇÃO DE RECEITAS FEDERAIS - DARF"/>
    <x v="8"/>
    <x v="41"/>
    <s v="Dívida Ativa"/>
    <s v="TECNOMONTE"/>
    <s v="SANTANDER"/>
    <m/>
    <n v="1037.79"/>
  </r>
  <r>
    <x v="0"/>
    <d v="2026-01-29T00:00:00"/>
    <s v="DOCUMENTO DE ARRECADAÇÃO DE RECEITAS FEDERAIS - DARF"/>
    <x v="8"/>
    <x v="41"/>
    <s v="Dívida Ativa"/>
    <s v="TECNOMONTE"/>
    <s v="SANTANDER"/>
    <m/>
    <n v="1172.44"/>
  </r>
  <r>
    <x v="0"/>
    <d v="2026-01-29T00:00:00"/>
    <s v="DOCUMENTO DE ARRECADAÇÃO DE RECEITAS FEDERAIS - DARF"/>
    <x v="8"/>
    <x v="41"/>
    <s v="Dívida Ativa"/>
    <s v="TECNOMONTE"/>
    <s v="SANTANDER"/>
    <m/>
    <n v="556.63"/>
  </r>
  <r>
    <x v="0"/>
    <d v="2026-01-29T00:00:00"/>
    <s v="DOCUMENTO DE ARRECADAÇÃO DE RECEITAS FEDERAIS - DARF"/>
    <x v="8"/>
    <x v="41"/>
    <s v="Dívida Ativa"/>
    <s v="TECNOMONTE"/>
    <s v="SANTANDER"/>
    <m/>
    <n v="672.33"/>
  </r>
  <r>
    <x v="0"/>
    <d v="2026-01-29T00:00:00"/>
    <s v="DOCUMENTO DE ARRECADAÇÃO DE RECEITAS FEDERAIS - DARF"/>
    <x v="8"/>
    <x v="41"/>
    <s v="Dívida Ativa"/>
    <s v="TECNOMONTE"/>
    <s v="SANTANDER"/>
    <m/>
    <n v="2077.8200000000002"/>
  </r>
  <r>
    <x v="0"/>
    <d v="2026-01-29T00:00:00"/>
    <s v="DOCUMENTO DE ARRECADAÇÃO DE RECEITAS FEDERAIS - DARF"/>
    <x v="8"/>
    <x v="41"/>
    <s v="Dívida Ativa"/>
    <s v="TECNOMONTE"/>
    <s v="SANTANDER"/>
    <m/>
    <n v="2566.41"/>
  </r>
  <r>
    <x v="0"/>
    <d v="2026-01-29T00:00:00"/>
    <s v="DOCUMENTO DE ARRECADAÇÃO DE RECEITAS FEDERAIS - DARF"/>
    <x v="8"/>
    <x v="41"/>
    <s v="Dívida Ativa"/>
    <s v="TECNOMONTE"/>
    <s v="SANTANDER"/>
    <m/>
    <n v="3441.77"/>
  </r>
  <r>
    <x v="0"/>
    <d v="2026-01-29T00:00:00"/>
    <s v="DOCUMENTO DE ARRECADAÇÃO DE RECEITAS FEDERAIS - DARF"/>
    <x v="8"/>
    <x v="41"/>
    <s v="Dívida Ativa"/>
    <s v="TECNOMONTE"/>
    <s v="SANTANDER"/>
    <m/>
    <n v="4294.3599999999997"/>
  </r>
  <r>
    <x v="0"/>
    <d v="2026-01-29T00:00:00"/>
    <s v="DOCUMENTO DE ARRECADAÇÃO DE RECEITAS FEDERAIS - DARF"/>
    <x v="8"/>
    <x v="41"/>
    <s v="Dívida Ativa"/>
    <s v="TECNOMONTE"/>
    <s v="SANTANDER"/>
    <m/>
    <n v="9235.9"/>
  </r>
  <r>
    <x v="0"/>
    <d v="2026-01-29T00:00:00"/>
    <s v="DOCUMENTO DE ARRECADAÇÃO DE RECEITAS FEDERAIS - DARF"/>
    <x v="1"/>
    <x v="47"/>
    <s v="Darf"/>
    <s v="TECNOMONTE"/>
    <s v="SANTANDER"/>
    <m/>
    <n v="1390.1"/>
  </r>
  <r>
    <x v="0"/>
    <d v="2026-01-29T00:00:00"/>
    <s v="RESCISÃO DO CONTRATO DE TRABALHO"/>
    <x v="2"/>
    <x v="2"/>
    <s v="CARLOS HENRIQUE AUGUSTO DOS SANTOS"/>
    <s v="AGEO - BACIA 10"/>
    <s v="SANTANDER"/>
    <m/>
    <n v="968.1"/>
  </r>
  <r>
    <x v="0"/>
    <d v="2026-01-29T00:00:00"/>
    <s v="RESCISÃO DO CONTRATO DE TRABALHO"/>
    <x v="2"/>
    <x v="2"/>
    <s v="CLAUDIO MAXIMO DA SILVA"/>
    <s v="AGEO - HH"/>
    <s v="SANTANDER"/>
    <m/>
    <n v="2946.5"/>
  </r>
  <r>
    <x v="0"/>
    <d v="2026-01-29T00:00:00"/>
    <s v="RESCISÃO DO CONTRATO DE TRABALHO"/>
    <x v="2"/>
    <x v="2"/>
    <s v="EVERTON TRIGO SENA"/>
    <s v="AGEO - HH"/>
    <s v="SANTANDER"/>
    <m/>
    <n v="304.29000000000002"/>
  </r>
  <r>
    <x v="0"/>
    <d v="2026-01-29T00:00:00"/>
    <s v="DIGESTO - COBRANÇA"/>
    <x v="5"/>
    <x v="48"/>
    <s v="Mensal"/>
    <s v="TECNOMONTE"/>
    <s v="SANTANDER"/>
    <m/>
    <n v="400"/>
  </r>
  <r>
    <x v="0"/>
    <d v="2026-01-29T00:00:00"/>
    <s v="VALE TRANSPORTE"/>
    <x v="1"/>
    <x v="5"/>
    <s v="Passagem"/>
    <s v="CESARI - CUBATÃO"/>
    <s v="SANTANDER"/>
    <m/>
    <n v="584"/>
  </r>
  <r>
    <x v="0"/>
    <d v="2026-01-30T00:00:00"/>
    <s v="BLOQUEIO JUDICIAL"/>
    <x v="5"/>
    <x v="49"/>
    <s v="BLOQUEIO"/>
    <s v="TECNOMONTE"/>
    <s v="SANTANDER"/>
    <n v="807.7"/>
    <m/>
  </r>
  <r>
    <x v="0"/>
    <d v="2026-01-30T00:00:00"/>
    <s v="DOCUMENTO DE ARRECADAÇÃO DE RECEITAS FEDERAIS - DARF"/>
    <x v="1"/>
    <x v="47"/>
    <s v="Darf"/>
    <s v="TECNOMONTE"/>
    <s v="SANTANDER"/>
    <m/>
    <n v="572.29"/>
  </r>
  <r>
    <x v="0"/>
    <d v="2026-01-30T00:00:00"/>
    <s v="DOCUMENTO DE ARRECADAÇÃO DE RECEITAS FEDERAIS - DARF"/>
    <x v="1"/>
    <x v="47"/>
    <s v="Darf"/>
    <s v="TECNOMONTE"/>
    <s v="SANTANDER"/>
    <m/>
    <n v="514.04999999999995"/>
  </r>
  <r>
    <x v="0"/>
    <d v="2026-01-30T00:00:00"/>
    <s v="DOCUMENTO DE ARRECADAÇÃO DE RECEITAS FEDERAIS - DARF"/>
    <x v="1"/>
    <x v="47"/>
    <s v="Darf"/>
    <s v="TECNOMONTE"/>
    <s v="SANTANDER"/>
    <m/>
    <n v="667.6"/>
  </r>
  <r>
    <x v="0"/>
    <d v="2026-01-30T00:00:00"/>
    <s v="BANCO SANTANDER"/>
    <x v="3"/>
    <x v="50"/>
    <s v="RENDIMENTO"/>
    <s v="TECNOMONTE"/>
    <s v="SANTANDER"/>
    <n v="0.31"/>
    <m/>
  </r>
  <r>
    <x v="0"/>
    <d v="2026-01-30T00:00:00"/>
    <s v="BANCO SANTANDER"/>
    <x v="3"/>
    <x v="3"/>
    <s v="TARIFAS"/>
    <s v="TECNOMONTE"/>
    <s v="SANTANDER"/>
    <m/>
    <n v="12.51"/>
  </r>
  <r>
    <x v="1"/>
    <d v="2026-02-02T00:00:00"/>
    <s v="ANDREIA UPENECK"/>
    <x v="0"/>
    <x v="0"/>
    <s v="TRANSFERÊNCIA ENTRE CONTAS"/>
    <s v="TRANSFERÊNCIA ENTRE CONTAS"/>
    <s v="SANTANDER"/>
    <n v="9000"/>
    <m/>
  </r>
  <r>
    <x v="1"/>
    <d v="2026-02-02T00:00:00"/>
    <s v="GRRF - GUIA DE RECOLHIMENTO RESCISÓRIO DO FGTS"/>
    <x v="1"/>
    <x v="1"/>
    <s v="JOSE GOMES DE SOUSA"/>
    <s v="AGEO - BACIA 10"/>
    <s v="SANTANDER"/>
    <m/>
    <n v="257.99"/>
  </r>
  <r>
    <x v="1"/>
    <d v="2026-02-02T00:00:00"/>
    <s v="GRRF - GUIA DE RECOLHIMENTO RESCISÓRIO DO FGTS"/>
    <x v="1"/>
    <x v="1"/>
    <s v="NATHAN SANTOS DE OLIVEIRA"/>
    <s v="AGEO - HH"/>
    <s v="SANTANDER"/>
    <m/>
    <n v="401.04"/>
  </r>
  <r>
    <x v="1"/>
    <d v="2026-02-02T00:00:00"/>
    <s v="RESCISÃO DO CONTRATO DE TRABALHO"/>
    <x v="2"/>
    <x v="2"/>
    <s v="JOSE GOMES DE SOUSA"/>
    <s v="AGEO - BACIA 10"/>
    <s v="SANTANDER"/>
    <m/>
    <n v="3012.29"/>
  </r>
  <r>
    <x v="1"/>
    <d v="2026-02-02T00:00:00"/>
    <s v="RESCISÃO DO CONTRATO DE TRABALHO"/>
    <x v="2"/>
    <x v="2"/>
    <s v="NATHAN SANTOS DE OLIVEIRA"/>
    <s v="AGEO - HH"/>
    <s v="SANTANDER"/>
    <m/>
    <n v="3100.51"/>
  </r>
  <r>
    <x v="1"/>
    <d v="2026-02-02T00:00:00"/>
    <s v="TRIBUNAL REGIONAL DO TRABALHO"/>
    <x v="5"/>
    <x v="51"/>
    <s v="Andre Luiz Brancovan"/>
    <s v="TECNOMONTE"/>
    <s v="SANTANDER"/>
    <m/>
    <n v="1200"/>
  </r>
  <r>
    <x v="1"/>
    <d v="2026-02-02T00:00:00"/>
    <s v="VR BENEFICIOS"/>
    <x v="1"/>
    <x v="13"/>
    <s v="Cartão Alimentação "/>
    <s v="AGEO - BACIA 10"/>
    <s v="SANTANDER"/>
    <m/>
    <n v="9.02"/>
  </r>
  <r>
    <x v="1"/>
    <d v="2026-02-03T00:00:00"/>
    <s v="TRIBUNAL REGIONAL DO TRABALHO"/>
    <x v="5"/>
    <x v="51"/>
    <s v="Rerisson Ferreira Barreto da Silva"/>
    <s v="TECNOMONTE"/>
    <s v="SANTANDER"/>
    <m/>
    <n v="896.62"/>
  </r>
  <r>
    <x v="1"/>
    <d v="2026-02-04T00:00:00"/>
    <s v="ANDREIA UPENECK"/>
    <x v="0"/>
    <x v="0"/>
    <s v="TRANSFERÊNCIA ENTRE CONTAS"/>
    <s v="TRANSFERÊNCIA ENTRE CONTAS"/>
    <s v="SANTANDER"/>
    <n v="10700"/>
    <m/>
  </r>
  <r>
    <x v="1"/>
    <d v="2026-02-04T00:00:00"/>
    <s v="RECIBO DE FÉRIAS"/>
    <x v="2"/>
    <x v="7"/>
    <s v="ALEXANDRA MARIA DA SILVA"/>
    <s v="AGEO - BACIA 10"/>
    <s v="SANTANDER"/>
    <m/>
    <n v="6534.41"/>
  </r>
  <r>
    <x v="1"/>
    <d v="2026-02-04T00:00:00"/>
    <s v="RECIBO DE FÉRIAS"/>
    <x v="2"/>
    <x v="7"/>
    <s v="DAIANE ASSIS DA CRUZ DUARTE"/>
    <s v="AGEO - BACIA 10"/>
    <s v="SANTANDER"/>
    <m/>
    <n v="3068.06"/>
  </r>
  <r>
    <x v="1"/>
    <d v="2026-02-04T00:00:00"/>
    <s v="VALE TRANSPORTE"/>
    <x v="1"/>
    <x v="5"/>
    <s v="Passagem"/>
    <s v="CESARI - CUBATÃO"/>
    <s v="SANTANDER"/>
    <m/>
    <n v="542"/>
  </r>
  <r>
    <x v="1"/>
    <d v="2026-02-04T00:00:00"/>
    <s v="VALE TRANSPORTE"/>
    <x v="1"/>
    <x v="5"/>
    <s v="Passagem"/>
    <s v="AGEO - HH"/>
    <s v="SANTANDER"/>
    <m/>
    <n v="220"/>
  </r>
  <r>
    <x v="1"/>
    <d v="2026-02-04T00:00:00"/>
    <s v="BANCO SANTANDER"/>
    <x v="3"/>
    <x v="3"/>
    <s v="TARIFAS"/>
    <s v="TECNOMONTE"/>
    <s v="SANTANDER"/>
    <m/>
    <n v="3.85"/>
  </r>
  <r>
    <x v="1"/>
    <d v="2026-02-04T00:00:00"/>
    <s v="BANCO SANTANDER"/>
    <x v="3"/>
    <x v="3"/>
    <s v="TARIFAS"/>
    <s v="TECNOMONTE"/>
    <s v="SANTANDER"/>
    <m/>
    <n v="11.84"/>
  </r>
  <r>
    <x v="1"/>
    <d v="2026-02-05T00:00:00"/>
    <s v="ANDREIA UPENECK"/>
    <x v="0"/>
    <x v="0"/>
    <s v="TRANSFERÊNCIA ENTRE CONTAS"/>
    <s v="TRANSFERÊNCIA ENTRE CONTAS"/>
    <s v="SANTANDER"/>
    <n v="6000"/>
    <m/>
  </r>
  <r>
    <x v="1"/>
    <d v="2026-02-05T00:00:00"/>
    <s v="ANDRE GUILHERME BARZ - INICIAL COMUNICAÇÃO"/>
    <x v="4"/>
    <x v="9"/>
    <s v="Serviços Prestados"/>
    <s v="TECNOMONTE"/>
    <s v="SANTANDER"/>
    <m/>
    <n v="1800"/>
  </r>
  <r>
    <x v="1"/>
    <d v="2026-02-05T00:00:00"/>
    <s v="ATTUAL IMÓVEIS INCORPORADORA LTDA - ELISEU PEREIRA MATIAS"/>
    <x v="4"/>
    <x v="40"/>
    <s v="Escritório - Avenida Pio XII, 33 - Sala 03 - Paulínia/SP"/>
    <s v="ESCRITÓRIO - PAULÍNIA"/>
    <s v="SANTANDER"/>
    <m/>
    <n v="3156.96"/>
  </r>
  <r>
    <x v="1"/>
    <d v="2026-02-05T00:00:00"/>
    <s v="GRRF - GUIA DE RECOLHIMENTO RESCISÓRIO DO FGTS"/>
    <x v="1"/>
    <x v="1"/>
    <s v="VITOR SANTOS DA SILVA"/>
    <s v="AGEO - BACIA 10"/>
    <s v="SANTANDER"/>
    <m/>
    <n v="57.54"/>
  </r>
  <r>
    <x v="1"/>
    <d v="2026-02-05T00:00:00"/>
    <s v="RESCISÃO DO CONTRATO DE TRABALHO"/>
    <x v="2"/>
    <x v="2"/>
    <s v="VITOR SANTOS DA SILVA"/>
    <s v="AGEO - BACIA 10"/>
    <s v="SANTANDER"/>
    <m/>
    <n v="669.52"/>
  </r>
  <r>
    <x v="1"/>
    <d v="2026-02-05T00:00:00"/>
    <s v="BANCO SANTANDER"/>
    <x v="3"/>
    <x v="3"/>
    <s v="TARIFAS"/>
    <s v="TECNOMONTE"/>
    <s v="SANTANDER"/>
    <m/>
    <n v="3.64"/>
  </r>
  <r>
    <x v="1"/>
    <d v="2026-02-06T00:00:00"/>
    <s v="BANCO BTG"/>
    <x v="0"/>
    <x v="4"/>
    <s v="TRANSFERÊNCIA ENTRE CONTAS"/>
    <s v="TRANSFERÊNCIA ENTRE CONTAS"/>
    <s v="SANTANDER"/>
    <n v="743000"/>
    <m/>
  </r>
  <r>
    <x v="1"/>
    <d v="2026-02-06T00:00:00"/>
    <s v="ANNE CAROLINE FOGACA DA SILVA"/>
    <x v="2"/>
    <x v="10"/>
    <s v="Josenildo Goes de Souza - Pensão Alimentícia"/>
    <s v="AGEO - BACIA 10"/>
    <s v="SANTANDER"/>
    <m/>
    <n v="766.08"/>
  </r>
  <r>
    <x v="1"/>
    <d v="2026-02-06T00:00:00"/>
    <s v="ANTONIO NUNES DE MOURA"/>
    <x v="1"/>
    <x v="30"/>
    <s v="Passagem - Ajuda de Custo"/>
    <s v="AGEO - GERAL"/>
    <s v="SANTANDER"/>
    <m/>
    <n v="500"/>
  </r>
  <r>
    <x v="1"/>
    <d v="2026-02-06T00:00:00"/>
    <s v="BEATRIZ NUNES DOS SANTOS"/>
    <x v="2"/>
    <x v="10"/>
    <s v=" Matheus Henrique de Lira Barbosa - Pensão Alimentícia"/>
    <s v="AGEO - BACIA 10"/>
    <s v="SANTANDER"/>
    <m/>
    <n v="962.51"/>
  </r>
  <r>
    <x v="1"/>
    <d v="2026-02-06T00:00:00"/>
    <s v="BIBBIANA BERTOLACCINI VASCONCELOS"/>
    <x v="5"/>
    <x v="8"/>
    <s v="Trabalhista, Fiscal e Contratos "/>
    <s v="TECNOMONTE"/>
    <s v="SANTANDER"/>
    <m/>
    <n v="3500"/>
  </r>
  <r>
    <x v="1"/>
    <d v="2026-02-06T00:00:00"/>
    <s v="DAIANE DOS SANTOS LIMA"/>
    <x v="1"/>
    <x v="30"/>
    <s v="Certificados"/>
    <s v="AGEO - GERAL"/>
    <s v="SANTANDER"/>
    <m/>
    <n v="1350"/>
  </r>
  <r>
    <x v="1"/>
    <d v="2026-02-06T00:00:00"/>
    <s v="EMILY FERNANDA DOS SANTOS SILVA"/>
    <x v="2"/>
    <x v="10"/>
    <s v="Eric dos Santos Silva - Pensão Alimentícia"/>
    <s v="AGEO - BACIA 10"/>
    <s v="SANTANDER"/>
    <m/>
    <n v="690.83"/>
  </r>
  <r>
    <x v="1"/>
    <d v="2026-02-06T00:00:00"/>
    <s v="FABIO TAVARES BEZERRA"/>
    <x v="2"/>
    <x v="15"/>
    <s v="Passagem - Ajuda de Custo"/>
    <s v="AGEO - GERAL"/>
    <s v="SANTANDER"/>
    <m/>
    <n v="500"/>
  </r>
  <r>
    <x v="1"/>
    <d v="2026-02-06T00:00:00"/>
    <s v="FIBRA ADMINISTRAÇÃO DE BENS E SERVIÇOS"/>
    <x v="4"/>
    <x v="6"/>
    <s v="Assessoria Financeira"/>
    <s v="TECNOMONTE"/>
    <s v="SANTANDER"/>
    <m/>
    <n v="4950"/>
  </r>
  <r>
    <x v="1"/>
    <d v="2026-02-06T00:00:00"/>
    <s v="FOLHA DE PAGAMENTO "/>
    <x v="2"/>
    <x v="12"/>
    <s v="Pagamento de Salários"/>
    <s v="AGEO - BACIA 10"/>
    <s v="SANTANDER"/>
    <m/>
    <n v="403143.08"/>
  </r>
  <r>
    <x v="1"/>
    <d v="2026-02-06T00:00:00"/>
    <s v="FOLHA DE PAGAMENTO "/>
    <x v="2"/>
    <x v="12"/>
    <s v="Pagamento de Salários"/>
    <s v="AGEO - HH"/>
    <s v="SANTANDER"/>
    <m/>
    <n v="135853.47"/>
  </r>
  <r>
    <x v="1"/>
    <d v="2026-02-06T00:00:00"/>
    <s v="FOLHA DE PAGAMENTO "/>
    <x v="2"/>
    <x v="12"/>
    <s v="Pagamento de Salários"/>
    <s v="CESARI - CUBATÃO"/>
    <s v="SANTANDER"/>
    <m/>
    <n v="12504.26"/>
  </r>
  <r>
    <x v="1"/>
    <d v="2026-02-06T00:00:00"/>
    <s v="GRRF - GUIA DE RECOLHIMENTO RESCISÓRIO DO FGTS"/>
    <x v="1"/>
    <x v="1"/>
    <s v="RAPHAEL PUPO GONÇALES FONSECA"/>
    <s v="AGEO - HH"/>
    <s v="SANTANDER"/>
    <m/>
    <n v="268.38"/>
  </r>
  <r>
    <x v="1"/>
    <d v="2026-02-06T00:00:00"/>
    <s v="GRRF - GUIA DE RECOLHIMENTO RESCISÓRIO DO FGTS"/>
    <x v="1"/>
    <x v="1"/>
    <s v="DIOGO MARX MOREIRA"/>
    <s v="AGEO - BACIA 10"/>
    <s v="SANTANDER"/>
    <m/>
    <n v="812.74"/>
  </r>
  <r>
    <x v="1"/>
    <d v="2026-02-06T00:00:00"/>
    <s v="GRRF - GUIA DE RECOLHIMENTO RESCISÓRIO DO FGTS"/>
    <x v="1"/>
    <x v="1"/>
    <s v="GABRIEL GONÇALES SALDANHA FONSECA"/>
    <s v="AGEO - HH"/>
    <s v="SANTANDER"/>
    <m/>
    <n v="1390.03"/>
  </r>
  <r>
    <x v="1"/>
    <d v="2026-02-06T00:00:00"/>
    <s v="GRRF - GUIA DE RECOLHIMENTO RESCISÓRIO DO FGTS"/>
    <x v="1"/>
    <x v="1"/>
    <s v="IRAN GUEDES LOURENÇO JUNIOR"/>
    <s v="AGEO - BACIA 10"/>
    <s v="SANTANDER"/>
    <m/>
    <n v="388.3"/>
  </r>
  <r>
    <x v="1"/>
    <d v="2026-02-06T00:00:00"/>
    <s v="JUCELIO FERREIRA DE LUNA"/>
    <x v="1"/>
    <x v="30"/>
    <s v="NR's"/>
    <s v="AGEO - GERAL"/>
    <s v="SANTANDER"/>
    <m/>
    <n v="400"/>
  </r>
  <r>
    <x v="1"/>
    <d v="2026-02-06T00:00:00"/>
    <s v="LEIDYANE FREITAS DA SILVA"/>
    <x v="2"/>
    <x v="10"/>
    <s v="Paulo Cesar Costa Silva - Pensão Alimentícia"/>
    <s v="AGEO - BACIA 10"/>
    <s v="SANTANDER"/>
    <m/>
    <n v="607.20000000000005"/>
  </r>
  <r>
    <x v="1"/>
    <d v="2026-02-06T00:00:00"/>
    <s v="RESCISÃO DO CONTRATO DE TRABALHO"/>
    <x v="2"/>
    <x v="2"/>
    <s v="RAPHAEL PUPO GONÇALES FONSECA"/>
    <s v="AGEO - HH"/>
    <s v="SANTANDER"/>
    <m/>
    <n v="2644.77"/>
  </r>
  <r>
    <x v="1"/>
    <d v="2026-02-06T00:00:00"/>
    <s v="RESCISÃO DO CONTRATO DE TRABALHO"/>
    <x v="2"/>
    <x v="2"/>
    <s v="DIOGO MARX MOREIRA"/>
    <s v="AGEO - BACIA 10"/>
    <s v="SANTANDER"/>
    <m/>
    <n v="4468.6400000000003"/>
  </r>
  <r>
    <x v="1"/>
    <d v="2026-02-06T00:00:00"/>
    <s v="RESCISÃO DO CONTRATO DE TRABALHO"/>
    <x v="2"/>
    <x v="2"/>
    <s v="GABRIEL GONÇALES SALDANHA FONSECA"/>
    <s v="AGEO - HH"/>
    <s v="SANTANDER"/>
    <m/>
    <n v="9125.6200000000008"/>
  </r>
  <r>
    <x v="1"/>
    <d v="2026-02-06T00:00:00"/>
    <s v="RESCISÃO DO CONTRATO DE TRABALHO"/>
    <x v="2"/>
    <x v="2"/>
    <s v="IRAN GUEDES LOURENÇO JUNIOR"/>
    <s v="AGEO - BACIA 10"/>
    <s v="SANTANDER"/>
    <m/>
    <n v="4288.29"/>
  </r>
  <r>
    <x v="1"/>
    <d v="2026-02-06T00:00:00"/>
    <s v="TECNOPONTO TEC. AVANÇADA EM CONTROLE DE PONTO DE ACESSO"/>
    <x v="7"/>
    <x v="43"/>
    <s v="Novo Relógio Ponto"/>
    <s v="TECNOMONTE"/>
    <s v="SANTANDER"/>
    <m/>
    <n v="1284"/>
  </r>
  <r>
    <x v="1"/>
    <d v="2026-02-06T00:00:00"/>
    <s v="TECNOPONTO TEC. AVANÇADA EM CONTROLE DE PONTO DE ACESSO"/>
    <x v="7"/>
    <x v="43"/>
    <s v="Novo Relógio Ponto"/>
    <s v="TECNOMONTE"/>
    <s v="SANTANDER"/>
    <m/>
    <n v="1286.46"/>
  </r>
  <r>
    <x v="1"/>
    <d v="2026-02-06T00:00:00"/>
    <s v="TRIBUNAL REGIONAL DO TRABALHO"/>
    <x v="5"/>
    <x v="51"/>
    <s v="Jamilson Gonçalves de Sousa"/>
    <s v="TECNOMONTE"/>
    <s v="SANTANDER"/>
    <m/>
    <n v="263.14999999999998"/>
  </r>
  <r>
    <x v="1"/>
    <d v="2026-02-06T00:00:00"/>
    <s v="TRIBUNAL REGIONAL DO TRABALHO"/>
    <x v="5"/>
    <x v="51"/>
    <s v="FERNANDO FEITOSA SANTIAGO"/>
    <s v="TECNOMONTE"/>
    <s v="SANTANDER"/>
    <m/>
    <n v="6209.7"/>
  </r>
  <r>
    <x v="1"/>
    <d v="2026-02-06T00:00:00"/>
    <s v="VR BENEFICIOS"/>
    <x v="1"/>
    <x v="13"/>
    <s v="Cartão Alimentação "/>
    <s v="AGEO - BACIA 10"/>
    <s v="SANTANDER"/>
    <m/>
    <n v="68511.3"/>
  </r>
  <r>
    <x v="1"/>
    <d v="2026-02-06T00:00:00"/>
    <s v="VR BENEFICIOS"/>
    <x v="1"/>
    <x v="13"/>
    <s v="Cartão Alimentação "/>
    <s v="AGEO - HH"/>
    <s v="SANTANDER"/>
    <m/>
    <n v="42786.98"/>
  </r>
  <r>
    <x v="1"/>
    <d v="2026-02-06T00:00:00"/>
    <s v="TOKIO MARINE SEGURADORA S A"/>
    <x v="6"/>
    <x v="24"/>
    <s v="Defender (Diferença)"/>
    <s v="TECNOMONTE"/>
    <s v="SANTANDER"/>
    <m/>
    <n v="1631.59"/>
  </r>
  <r>
    <x v="1"/>
    <d v="2026-02-06T00:00:00"/>
    <s v="CONTABNEW ASSESSORIA CONTÁBIL, FISCAL E TRABALHISTA"/>
    <x v="4"/>
    <x v="16"/>
    <s v="Mensal"/>
    <s v="TECNOMONTE"/>
    <s v="SANTANDER"/>
    <m/>
    <n v="5300"/>
  </r>
  <r>
    <x v="1"/>
    <d v="2026-02-06T00:00:00"/>
    <s v="TOKIO MARINE SEGURADORA S A"/>
    <x v="6"/>
    <x v="24"/>
    <s v="Velar e Caminhão"/>
    <s v="TECNOMONTE"/>
    <s v="SANTANDER"/>
    <m/>
    <n v="6542.29"/>
  </r>
  <r>
    <x v="1"/>
    <d v="2026-02-06T00:00:00"/>
    <s v="BANCO SANTANDER"/>
    <x v="3"/>
    <x v="3"/>
    <s v="TARIFAS"/>
    <s v="TECNOMONTE"/>
    <s v="SANTANDER"/>
    <m/>
    <n v="13.5"/>
  </r>
  <r>
    <x v="1"/>
    <d v="2026-02-07T00:00:00"/>
    <s v="CHEQUE SANTANDER"/>
    <x v="0"/>
    <x v="23"/>
    <s v="CHEQUE SANTANDER"/>
    <s v="ANDRÉIA - PARTICULAR"/>
    <s v="SANTANDER"/>
    <m/>
    <n v="16666"/>
  </r>
  <r>
    <x v="1"/>
    <d v="2026-02-09T00:00:00"/>
    <s v="SANTANDER BRASIL ADMINISTRADORA DE CONSORCIO LTDA"/>
    <x v="3"/>
    <x v="52"/>
    <s v="Consórcio Santander"/>
    <s v="TECNOMONTE"/>
    <s v="SANTANDER"/>
    <n v="27835.46"/>
    <m/>
  </r>
  <r>
    <x v="1"/>
    <d v="2026-02-09T00:00:00"/>
    <s v="SERASA EXPERIAN"/>
    <x v="6"/>
    <x v="53"/>
    <s v="Consultas"/>
    <s v="TECNOMONTE"/>
    <s v="SANTANDER"/>
    <m/>
    <n v="299"/>
  </r>
  <r>
    <x v="1"/>
    <d v="2026-02-09T00:00:00"/>
    <s v="VALE TRANSPORTE"/>
    <x v="1"/>
    <x v="5"/>
    <s v="Passagem"/>
    <s v="AGEO - BACIA 10"/>
    <s v="SANTANDER"/>
    <m/>
    <n v="480"/>
  </r>
  <r>
    <x v="1"/>
    <d v="2026-02-09T00:00:00"/>
    <s v="VR BENEFICIOS"/>
    <x v="1"/>
    <x v="13"/>
    <s v="Cartão Alimentação "/>
    <s v="AGEO - BACIA 10"/>
    <s v="SANTANDER"/>
    <m/>
    <n v="220.32"/>
  </r>
  <r>
    <x v="1"/>
    <d v="2026-02-09T00:00:00"/>
    <s v="BLOQUEIO JUDICIAL"/>
    <x v="5"/>
    <x v="39"/>
    <s v="BLOQUEIO"/>
    <s v="TECNOMONTE"/>
    <s v="SANTANDER"/>
    <m/>
    <n v="2103.3200000000002"/>
  </r>
  <r>
    <x v="1"/>
    <d v="2026-02-09T00:00:00"/>
    <s v="BANCO SANTANDER"/>
    <x v="3"/>
    <x v="3"/>
    <s v="TARIFAS"/>
    <s v="TECNOMONTE"/>
    <s v="SANTANDER"/>
    <m/>
    <n v="56.53"/>
  </r>
  <r>
    <x v="1"/>
    <d v="2026-02-09T00:00:00"/>
    <s v="BANCO SANTANDER"/>
    <x v="3"/>
    <x v="3"/>
    <s v="TARIFAS"/>
    <s v="TECNOMONTE"/>
    <s v="SANTANDER"/>
    <m/>
    <n v="29.9"/>
  </r>
  <r>
    <x v="1"/>
    <d v="2026-02-09T00:00:00"/>
    <s v="BANCO SANTANDER"/>
    <x v="3"/>
    <x v="3"/>
    <s v="TARIFAS"/>
    <s v="TECNOMONTE"/>
    <s v="SANTANDER"/>
    <m/>
    <n v="228.8"/>
  </r>
  <r>
    <x v="1"/>
    <d v="2026-02-10T00:00:00"/>
    <s v="VALE TRANSPORTE"/>
    <x v="1"/>
    <x v="5"/>
    <s v="Passagem"/>
    <s v="AGEO - BACIA 10"/>
    <s v="SANTANDER"/>
    <m/>
    <n v="2335.92"/>
  </r>
  <r>
    <x v="1"/>
    <d v="2026-02-10T00:00:00"/>
    <s v="VALE TRANSPORTE"/>
    <x v="1"/>
    <x v="5"/>
    <s v="Passagem"/>
    <s v="CESARI - CUBATÃO"/>
    <s v="SANTANDER"/>
    <m/>
    <n v="380"/>
  </r>
  <r>
    <x v="1"/>
    <d v="2026-02-10T00:00:00"/>
    <s v="ALDEVI NOGUEIRA COUTINHO"/>
    <x v="0"/>
    <x v="23"/>
    <s v="Piscina"/>
    <s v="ANDRÉIA - PARTICULAR"/>
    <s v="SANTANDER"/>
    <m/>
    <n v="220"/>
  </r>
  <r>
    <x v="1"/>
    <d v="2026-02-10T00:00:00"/>
    <s v="EDEMILSON DE OLIVEIRA JACULI"/>
    <x v="6"/>
    <x v="18"/>
    <s v="Hospedagem"/>
    <s v="AGEO - GERAL"/>
    <s v="SANTANDER"/>
    <m/>
    <n v="4800"/>
  </r>
  <r>
    <x v="1"/>
    <d v="2026-02-10T00:00:00"/>
    <s v="VR BENEFICIOS"/>
    <x v="1"/>
    <x v="13"/>
    <s v="Cartão Alimentação "/>
    <s v="AGEO - BACIA 10"/>
    <s v="SANTANDER"/>
    <m/>
    <n v="0.1"/>
  </r>
  <r>
    <x v="1"/>
    <d v="2026-02-10T00:00:00"/>
    <s v="SANTOS CONTAINER"/>
    <x v="6"/>
    <x v="19"/>
    <s v="Container"/>
    <s v="AGEO - GERAL"/>
    <s v="SANTANDER"/>
    <m/>
    <n v="2342.65"/>
  </r>
  <r>
    <x v="1"/>
    <d v="2026-02-10T00:00:00"/>
    <s v="SEM PARAR"/>
    <x v="6"/>
    <x v="22"/>
    <s v="Pedágio"/>
    <s v="TECNOMONTE"/>
    <s v="SANTANDER"/>
    <m/>
    <n v="608.20000000000005"/>
  </r>
  <r>
    <x v="1"/>
    <d v="2026-02-10T00:00:00"/>
    <s v="AUTORIDADE PORTUARIA DE SANTOS"/>
    <x v="1"/>
    <x v="33"/>
    <s v="Crachás"/>
    <s v="AGEO - GERAL"/>
    <s v="SANTANDER"/>
    <m/>
    <n v="275.52"/>
  </r>
  <r>
    <x v="1"/>
    <d v="2026-02-10T00:00:00"/>
    <s v="CONDOMÍNIO RESIDENCIAL RESERVA JOÃO ARANHA"/>
    <x v="0"/>
    <x v="23"/>
    <s v="Condomínio Apto - Rua: Laurindo A. de Moura, 112 Ap 22 C - Jd Leonor - CEP: 13145-282"/>
    <s v="ANDRÉIA - PARTICULAR"/>
    <s v="SANTANDER"/>
    <m/>
    <n v="467.94"/>
  </r>
  <r>
    <x v="1"/>
    <d v="2026-02-10T00:00:00"/>
    <s v="BANCO SANTANDER"/>
    <x v="3"/>
    <x v="3"/>
    <s v="TARIFAS"/>
    <s v="TECNOMONTE"/>
    <s v="SANTANDER"/>
    <m/>
    <n v="224"/>
  </r>
  <r>
    <x v="1"/>
    <d v="2026-02-10T00:00:00"/>
    <s v="BANCO SANTANDER"/>
    <x v="3"/>
    <x v="3"/>
    <s v="TARIFAS"/>
    <s v="TECNOMONTE"/>
    <s v="SANTANDER"/>
    <m/>
    <n v="129.9"/>
  </r>
  <r>
    <x v="1"/>
    <d v="2026-02-10T00:00:00"/>
    <s v="BANCO SANTANDER"/>
    <x v="3"/>
    <x v="3"/>
    <s v="TARIFAS"/>
    <s v="TECNOMONTE"/>
    <s v="SANTANDER"/>
    <m/>
    <n v="11.49"/>
  </r>
  <r>
    <x v="1"/>
    <d v="2026-02-11T00:00:00"/>
    <s v="BANCO SANTANDER"/>
    <x v="3"/>
    <x v="3"/>
    <s v="TARIFAS"/>
    <s v="TECNOMONTE"/>
    <s v="SANTANDER"/>
    <m/>
    <n v="5.04"/>
  </r>
  <r>
    <x v="1"/>
    <d v="2026-02-11T00:00:00"/>
    <s v="BANCO SANTANDER"/>
    <x v="3"/>
    <x v="3"/>
    <s v="TARIFAS"/>
    <s v="TECNOMONTE"/>
    <s v="SANTANDER"/>
    <m/>
    <n v="3.9"/>
  </r>
  <r>
    <x v="1"/>
    <d v="2026-02-11T00:00:00"/>
    <s v="BANCO SANTANDER"/>
    <x v="3"/>
    <x v="3"/>
    <s v="TARIFAS"/>
    <s v="TECNOMONTE"/>
    <s v="SANTANDER"/>
    <m/>
    <n v="6.5"/>
  </r>
  <r>
    <x v="1"/>
    <d v="2026-02-12T00:00:00"/>
    <s v="BANCO ITAÚ"/>
    <x v="3"/>
    <x v="25"/>
    <s v="Cartão de Crédito  - GIROCOMP CARTAO"/>
    <s v="TECNOMONTE"/>
    <s v="SANTANDER"/>
    <m/>
    <n v="5544.39"/>
  </r>
  <r>
    <x v="1"/>
    <d v="2026-02-12T00:00:00"/>
    <s v="BANCO ITAÚ"/>
    <x v="3"/>
    <x v="25"/>
    <s v="Parcelamento Matriz (Cheque Especial) - SOB MEDIDA EMP EM ATRASO"/>
    <s v="TECNOMONTE"/>
    <s v="SANTANDER"/>
    <m/>
    <n v="6183.56"/>
  </r>
  <r>
    <x v="1"/>
    <d v="2026-02-12T00:00:00"/>
    <s v="EDESIO DE ARAGÃO DIAS FILHO"/>
    <x v="0"/>
    <x v="29"/>
    <s v="REEMBOLSO"/>
    <s v="TECNOMONTE"/>
    <s v="SANTANDER"/>
    <m/>
    <n v="35.450000000000003"/>
  </r>
  <r>
    <x v="1"/>
    <d v="2026-02-12T00:00:00"/>
    <s v="JOEL PEREIRA DE ABREU "/>
    <x v="0"/>
    <x v="29"/>
    <s v="REEMBOLSO"/>
    <s v="AGEO - GERAL"/>
    <s v="SANTANDER"/>
    <m/>
    <n v="219"/>
  </r>
  <r>
    <x v="1"/>
    <d v="2026-02-20T00:00:00"/>
    <s v="BANCO BTG"/>
    <x v="0"/>
    <x v="4"/>
    <s v="TRANSFERÊNCIA ENTRE CONTAS"/>
    <s v="TRANSFERÊNCIA ENTRE CONTAS"/>
    <s v="SANTANDER"/>
    <n v="700000"/>
    <m/>
  </r>
  <r>
    <x v="1"/>
    <d v="2026-02-13T00:00:00"/>
    <s v="ANDREIA UPENECK"/>
    <x v="0"/>
    <x v="0"/>
    <s v="TRANSFERÊNCIA ENTRE CONTAS"/>
    <s v="TRANSFERÊNCIA ENTRE CONTAS"/>
    <s v="SANTANDER"/>
    <n v="35000"/>
    <m/>
  </r>
  <r>
    <x v="1"/>
    <d v="2026-02-13T00:00:00"/>
    <s v="ANDREIA UPENECK"/>
    <x v="0"/>
    <x v="0"/>
    <s v="TRANSFERÊNCIA ENTRE CONTAS"/>
    <s v="TRANSFERÊNCIA ENTRE CONTAS"/>
    <s v="SANTANDER"/>
    <n v="21000"/>
    <m/>
  </r>
  <r>
    <x v="1"/>
    <d v="2026-02-13T00:00:00"/>
    <s v="ANDREIA UPENECK"/>
    <x v="0"/>
    <x v="0"/>
    <s v="TRANSFERÊNCIA ENTRE CONTAS"/>
    <s v="TRANSFERÊNCIA ENTRE CONTAS"/>
    <s v="SANTANDER"/>
    <n v="17000"/>
    <m/>
  </r>
  <r>
    <x v="1"/>
    <d v="2026-02-18T00:00:00"/>
    <s v="ANDREIA UPENECK"/>
    <x v="0"/>
    <x v="0"/>
    <s v="TRANSFERÊNCIA ENTRE CONTAS"/>
    <s v="TRANSFERÊNCIA ENTRE CONTAS"/>
    <s v="SANTANDER"/>
    <n v="12000"/>
    <m/>
  </r>
  <r>
    <x v="1"/>
    <d v="2026-02-23T00:00:00"/>
    <s v="BANCO SANTANDER"/>
    <x v="9"/>
    <x v="54"/>
    <s v="RENDIMENTO"/>
    <s v="TECNOMONTE"/>
    <s v="SANTANDER"/>
    <n v="0.16"/>
    <m/>
  </r>
  <r>
    <x v="1"/>
    <d v="2026-02-13T00:00:00"/>
    <s v="RESCISÃO DO CONTRATO DE TRABALHO"/>
    <x v="2"/>
    <x v="2"/>
    <s v="DENIS BRYAN DANTAS GODINHO"/>
    <s v="AGEO - HH"/>
    <s v="SANTANDER"/>
    <m/>
    <n v="15724.26"/>
  </r>
  <r>
    <x v="1"/>
    <d v="2026-02-13T00:00:00"/>
    <s v="RESCISÃO DO CONTRATO DE TRABALHO"/>
    <x v="2"/>
    <x v="2"/>
    <s v="LUIZ DE SOUZA SIDRÃO"/>
    <s v="AGEO - BACIA 10"/>
    <s v="SANTANDER"/>
    <m/>
    <n v="13393.69"/>
  </r>
  <r>
    <x v="1"/>
    <d v="2026-02-13T00:00:00"/>
    <s v="RESCISÃO DO CONTRATO DE TRABALHO"/>
    <x v="2"/>
    <x v="2"/>
    <s v="FABIO TAVARES BEZERRA"/>
    <s v="AGEO - BACIA 10"/>
    <s v="SANTANDER"/>
    <m/>
    <n v="8169.16"/>
  </r>
  <r>
    <x v="1"/>
    <d v="2026-02-13T00:00:00"/>
    <s v="RESCISÃO DO CONTRATO DE TRABALHO"/>
    <x v="2"/>
    <x v="2"/>
    <s v="ANTONIO NUNES DE MOURA"/>
    <s v="AGEO - BACIA 10"/>
    <s v="SANTANDER"/>
    <m/>
    <n v="8160.01"/>
  </r>
  <r>
    <x v="1"/>
    <d v="2026-02-13T00:00:00"/>
    <s v="RECIBO DE FÉRIAS"/>
    <x v="2"/>
    <x v="7"/>
    <s v="ADILSON CANDIDO LAURO - PAGAMENTO INDEVIDO"/>
    <s v="AGEO - BACIA 10"/>
    <s v="SANTANDER"/>
    <m/>
    <n v="5268.59"/>
  </r>
  <r>
    <x v="1"/>
    <d v="2026-02-13T00:00:00"/>
    <s v="GRRF - GUIA DE RECOLHIMENTO RESCISÓRIO DO FGTS"/>
    <x v="1"/>
    <x v="1"/>
    <s v="LUIZ DE SOUZA SIDRÃO"/>
    <s v="AGEO - BACIA 10"/>
    <s v="SANTANDER"/>
    <m/>
    <n v="4892.75"/>
  </r>
  <r>
    <x v="1"/>
    <d v="2026-02-13T00:00:00"/>
    <s v="RESCISÃO DO CONTRATO DE TRABALHO"/>
    <x v="2"/>
    <x v="2"/>
    <s v="ARIOSVALDO SILVA SALES"/>
    <s v="AGEO - BACIA 10"/>
    <s v="SANTANDER"/>
    <m/>
    <n v="3820.22"/>
  </r>
  <r>
    <x v="1"/>
    <d v="2026-02-13T00:00:00"/>
    <s v="GRRF - GUIA DE RECOLHIMENTO RESCISÓRIO DO FGTS"/>
    <x v="1"/>
    <x v="1"/>
    <s v="DENIS BRYAN DANTAS GODINHO"/>
    <s v="AGEO - HH"/>
    <s v="SANTANDER"/>
    <m/>
    <n v="3697.59"/>
  </r>
  <r>
    <x v="1"/>
    <d v="2026-02-13T00:00:00"/>
    <s v="BANCO SANTANDER "/>
    <x v="3"/>
    <x v="25"/>
    <s v="Parcelamento Matriz"/>
    <s v="TECNOMONTE"/>
    <s v="SANTANDER"/>
    <m/>
    <n v="2951.86"/>
  </r>
  <r>
    <x v="1"/>
    <d v="2026-02-13T00:00:00"/>
    <s v="EDWILSON FERREIRA BATISTA"/>
    <x v="2"/>
    <x v="12"/>
    <s v="Diferença de Salário"/>
    <s v="AGEO - BACIA 10"/>
    <s v="SANTANDER"/>
    <m/>
    <n v="1892.48"/>
  </r>
  <r>
    <x v="1"/>
    <d v="2026-02-13T00:00:00"/>
    <s v="GRRF - GUIA DE RECOLHIMENTO RESCISÓRIO DO FGTS"/>
    <x v="1"/>
    <x v="1"/>
    <s v="ANTONIO NUNES DE MOURA"/>
    <s v="AGEO - BACIA 10"/>
    <s v="SANTANDER"/>
    <m/>
    <n v="1592.53"/>
  </r>
  <r>
    <x v="1"/>
    <d v="2026-02-13T00:00:00"/>
    <s v="GRRF - GUIA DE RECOLHIMENTO RESCISÓRIO DO FGTS"/>
    <x v="1"/>
    <x v="1"/>
    <s v="FABIO TAVARES BEZERRA"/>
    <s v="AGEO - BACIA 10"/>
    <s v="SANTANDER"/>
    <m/>
    <n v="1592.21"/>
  </r>
  <r>
    <x v="1"/>
    <d v="2026-02-13T00:00:00"/>
    <s v="RICARDO DINIZ"/>
    <x v="6"/>
    <x v="42"/>
    <s v="Projeto"/>
    <s v="AGEO - GERAL"/>
    <s v="SANTANDER"/>
    <m/>
    <n v="1391.61"/>
  </r>
  <r>
    <x v="1"/>
    <d v="2026-02-13T00:00:00"/>
    <s v="GRRF - GUIA DE RECOLHIMENTO RESCISÓRIO DO FGTS"/>
    <x v="1"/>
    <x v="1"/>
    <s v="ARIOSVALDO SILVA SALES"/>
    <s v="AGEO - BACIA 10"/>
    <s v="SANTANDER"/>
    <m/>
    <n v="1195.27"/>
  </r>
  <r>
    <x v="1"/>
    <d v="2026-02-13T00:00:00"/>
    <s v="BRADESCO SEGUROS"/>
    <x v="6"/>
    <x v="24"/>
    <s v="Munck"/>
    <s v="TECNOMONTE"/>
    <s v="SANTANDER"/>
    <m/>
    <n v="580.53"/>
  </r>
  <r>
    <x v="1"/>
    <d v="2026-02-13T00:00:00"/>
    <s v="CRISTINA PEREIRA DA SILVA"/>
    <x v="4"/>
    <x v="55"/>
    <s v="Limpeza"/>
    <s v="AGEO - GERAL"/>
    <s v="SANTANDER"/>
    <m/>
    <n v="450"/>
  </r>
  <r>
    <x v="1"/>
    <d v="2026-02-13T00:00:00"/>
    <s v="ALEXSANDER FELIPE BEZERRA DE ALMEIDA"/>
    <x v="2"/>
    <x v="12"/>
    <s v="Diferença de Salário"/>
    <s v="AGEO - BACIA 10"/>
    <s v="SANTANDER"/>
    <m/>
    <n v="204.4"/>
  </r>
  <r>
    <x v="1"/>
    <d v="2026-02-13T00:00:00"/>
    <s v="DESKTOP INTERNET SERVICES"/>
    <x v="0"/>
    <x v="23"/>
    <s v="Internet: Argeo Piva, 683 (Nº Contrato: 301170 - Senha: 658674)"/>
    <s v="ANDRÉIA - PARTICULAR"/>
    <s v="SANTANDER"/>
    <m/>
    <n v="144.99"/>
  </r>
  <r>
    <x v="1"/>
    <d v="2026-02-13T00:00:00"/>
    <s v="BANCO SANTANDER"/>
    <x v="3"/>
    <x v="3"/>
    <s v="TARIFAS"/>
    <s v="TECNOMONTE"/>
    <s v="SANTANDER"/>
    <m/>
    <n v="1.19"/>
  </r>
  <r>
    <x v="1"/>
    <d v="2026-02-13T00:00:00"/>
    <s v="VR BENEFICIOS"/>
    <x v="1"/>
    <x v="13"/>
    <s v="Cartão Alimentação "/>
    <s v="AGEO - GERAL"/>
    <s v="SANTANDER"/>
    <m/>
    <n v="0.03"/>
  </r>
  <r>
    <x v="1"/>
    <d v="2026-02-18T00:00:00"/>
    <s v="REAL NEGOCIOS IMOBILIARIOS"/>
    <x v="0"/>
    <x v="23"/>
    <s v="Rua Argeo Piva, 683 Casa 05 - CEP: 13140-762"/>
    <s v="ANDRÉIA - PARTICULAR"/>
    <s v="SANTANDER"/>
    <m/>
    <n v="5935.11"/>
  </r>
  <r>
    <x v="1"/>
    <d v="2026-02-18T00:00:00"/>
    <s v="RESCISÃO DO CONTRATO DE TRABALHO"/>
    <x v="2"/>
    <x v="2"/>
    <s v="ALEXSANDRO JOSE DE LIMA SANTANA"/>
    <s v="AGEO - BACIA 10"/>
    <s v="SANTANDER"/>
    <m/>
    <n v="3315.32"/>
  </r>
  <r>
    <x v="1"/>
    <d v="2026-02-18T00:00:00"/>
    <s v="TOKIO MARINE SEGURADORA S A"/>
    <x v="1"/>
    <x v="26"/>
    <s v="Seguro de Vida"/>
    <s v="TECNOMONTE"/>
    <s v="SANTANDER"/>
    <m/>
    <n v="1218.1099999999999"/>
  </r>
  <r>
    <x v="1"/>
    <d v="2026-02-18T00:00:00"/>
    <s v="TECNOPONTO TEC. AVANÇADA EM CONTROLE DE PONTO DE ACESSO"/>
    <x v="4"/>
    <x v="27"/>
    <s v="Relógio Ponto - Mensalidade"/>
    <s v="TECNOMONTE"/>
    <s v="SANTANDER"/>
    <m/>
    <n v="982.4"/>
  </r>
  <r>
    <x v="1"/>
    <d v="2026-02-18T00:00:00"/>
    <s v="GRRF - GUIA DE RECOLHIMENTO RESCISÓRIO DO FGTS"/>
    <x v="1"/>
    <x v="1"/>
    <s v="ALEXSANDRO JOSE DE LIMA SANTANA"/>
    <s v="AGEO - BACIA 10"/>
    <s v="SANTANDER"/>
    <m/>
    <n v="863.64"/>
  </r>
  <r>
    <x v="1"/>
    <d v="2026-02-18T00:00:00"/>
    <s v="FORTI RENTAL LOCACAO DE MAQUINAS E EQUIPAMENTOS - TRANSMUNCK"/>
    <x v="6"/>
    <x v="19"/>
    <s v="Locação de Equipamentos"/>
    <s v="AGEO - BACIA 10"/>
    <s v="SANTANDER"/>
    <m/>
    <n v="350"/>
  </r>
  <r>
    <x v="1"/>
    <d v="2026-02-18T00:00:00"/>
    <s v="CHRISTIANO GRASSI CAMARGO"/>
    <x v="5"/>
    <x v="56"/>
    <s v="Honorários periciais"/>
    <s v="AGEO - GERAL"/>
    <s v="SANTANDER"/>
    <m/>
    <n v="300"/>
  </r>
  <r>
    <x v="1"/>
    <d v="2026-02-18T00:00:00"/>
    <s v="BANCO SANTANDER"/>
    <x v="3"/>
    <x v="3"/>
    <s v="TARIFAS"/>
    <s v="TECNOMONTE"/>
    <s v="SANTANDER"/>
    <m/>
    <n v="30.51"/>
  </r>
  <r>
    <x v="1"/>
    <d v="2026-02-18T00:00:00"/>
    <s v="BANCO SANTANDER"/>
    <x v="3"/>
    <x v="3"/>
    <s v="TARIFAS"/>
    <s v="TECNOMONTE"/>
    <s v="SANTANDER"/>
    <m/>
    <n v="13.5"/>
  </r>
  <r>
    <x v="1"/>
    <d v="2026-02-19T00:00:00"/>
    <s v="VALE TRANSPORTE"/>
    <x v="1"/>
    <x v="5"/>
    <s v="Passagem"/>
    <s v="CESARI - CUBATÃO"/>
    <s v="SANTANDER"/>
    <m/>
    <n v="786.5"/>
  </r>
  <r>
    <x v="1"/>
    <d v="2026-02-19T00:00:00"/>
    <s v="VALE TRANSPORTE"/>
    <x v="1"/>
    <x v="5"/>
    <s v="Passagem"/>
    <s v="AGEO - HH"/>
    <s v="SANTANDER"/>
    <m/>
    <n v="300"/>
  </r>
  <r>
    <x v="1"/>
    <d v="2026-02-19T00:00:00"/>
    <s v="BANCO SANTANDER"/>
    <x v="3"/>
    <x v="3"/>
    <s v="TARIFAS"/>
    <s v="TECNOMONTE"/>
    <s v="SANTANDER"/>
    <m/>
    <n v="5.48"/>
  </r>
  <r>
    <x v="1"/>
    <d v="2026-02-20T00:00:00"/>
    <s v="FOLHA DE PAGAMENTO "/>
    <x v="2"/>
    <x v="12"/>
    <s v="Adiantamento de Salários - Vale"/>
    <s v="AGEO - BACIA 10"/>
    <s v="SANTANDER"/>
    <m/>
    <n v="240400.58"/>
  </r>
  <r>
    <x v="1"/>
    <d v="2026-02-20T00:00:00"/>
    <s v="FOLHA DE PAGAMENTO "/>
    <x v="2"/>
    <x v="12"/>
    <s v="Adiantamento de Salários - Vale"/>
    <s v="AGEO - HH"/>
    <s v="SANTANDER"/>
    <m/>
    <n v="102194.05"/>
  </r>
  <r>
    <x v="1"/>
    <d v="2026-02-20T00:00:00"/>
    <s v="PRÊMIO - PLR"/>
    <x v="2"/>
    <x v="57"/>
    <s v="PLR"/>
    <s v="AGEO - BACIA 10"/>
    <s v="SANTANDER"/>
    <m/>
    <n v="60002.559999999998"/>
  </r>
  <r>
    <x v="1"/>
    <d v="2026-02-20T00:00:00"/>
    <s v="GRF - GUIA DE RECOLHIMENTO DO FGTS"/>
    <x v="1"/>
    <x v="35"/>
    <s v="Fgts"/>
    <s v="AGEO - GERAL"/>
    <s v="SANTANDER"/>
    <m/>
    <n v="58757.61"/>
  </r>
  <r>
    <x v="1"/>
    <d v="2026-02-20T00:00:00"/>
    <s v="GRF - GUIA DE RECOLHIMENTO DO FGTS"/>
    <x v="1"/>
    <x v="35"/>
    <s v="Fgts"/>
    <s v="AGEO - GERAL"/>
    <s v="SANTANDER"/>
    <m/>
    <n v="23262.92"/>
  </r>
  <r>
    <x v="1"/>
    <d v="2026-02-20T00:00:00"/>
    <s v="DR DO BEM SERV ADMINISTRATIVOS"/>
    <x v="1"/>
    <x v="34"/>
    <s v="Exames Médico"/>
    <s v="AGEO - GERAL"/>
    <s v="SANTANDER"/>
    <m/>
    <n v="18662.3"/>
  </r>
  <r>
    <x v="1"/>
    <d v="2026-02-20T00:00:00"/>
    <s v="ALEXANDRE MARCATO - ADTECH ENERGIA "/>
    <x v="5"/>
    <x v="31"/>
    <s v="Serviços Prestados - Acordo"/>
    <s v="SMALL - PRESIDENTE PRUDENTE"/>
    <s v="SANTANDER"/>
    <m/>
    <n v="17922.439999999999"/>
  </r>
  <r>
    <x v="1"/>
    <d v="2026-02-20T00:00:00"/>
    <s v="PRÊMIO - PLR"/>
    <x v="2"/>
    <x v="57"/>
    <s v="PLR"/>
    <s v="AGEO - HH"/>
    <s v="SANTANDER"/>
    <m/>
    <n v="17668.3"/>
  </r>
  <r>
    <x v="1"/>
    <d v="2026-02-20T00:00:00"/>
    <s v="TECNOMIL - DANILO BIGNARDI"/>
    <x v="5"/>
    <x v="31"/>
    <s v="Calandra"/>
    <s v="INPASA - SIDRÔLANDIA"/>
    <s v="SANTANDER"/>
    <m/>
    <n v="16000"/>
  </r>
  <r>
    <x v="1"/>
    <d v="2026-02-20T00:00:00"/>
    <s v="FOLHA DE PAGAMENTO "/>
    <x v="2"/>
    <x v="12"/>
    <s v="Adiantamento de Salários - Vale"/>
    <s v="CESARI - CUBATÃO"/>
    <s v="SANTANDER"/>
    <m/>
    <n v="12471.85"/>
  </r>
  <r>
    <x v="1"/>
    <d v="2026-02-20T00:00:00"/>
    <s v="TRIBUNAL REGIONAL DO TRABALHO"/>
    <x v="5"/>
    <x v="11"/>
    <s v="AGUARDANDO"/>
    <s v="ANDRÉIA - PARTICULAR"/>
    <s v="SANTANDER"/>
    <m/>
    <n v="11866.54"/>
  </r>
  <r>
    <x v="1"/>
    <d v="2026-02-20T00:00:00"/>
    <s v="LOCAMINAS LOCAÇÃO DE MAQUINAS E EQUIPAMENTOS "/>
    <x v="5"/>
    <x v="31"/>
    <s v="Locação de Equipamentos"/>
    <s v="AGEO - BACIA 10"/>
    <s v="SANTANDER"/>
    <m/>
    <n v="6591.83"/>
  </r>
  <r>
    <x v="1"/>
    <d v="2026-02-20T00:00:00"/>
    <s v="RESCISÃO DO CONTRATO DE TRABALHO"/>
    <x v="2"/>
    <x v="2"/>
    <s v="AGATHA CRISTINNY SANTOS DA SILVA"/>
    <s v="AGEO - HH"/>
    <s v="SANTANDER"/>
    <m/>
    <n v="5809.71"/>
  </r>
  <r>
    <x v="1"/>
    <d v="2026-02-20T00:00:00"/>
    <s v="RECIBO DE FÉRIAS"/>
    <x v="2"/>
    <x v="7"/>
    <s v="VANDERSON APARECIDO LIMA FRANCA"/>
    <s v="AGEO - HH"/>
    <s v="SANTANDER"/>
    <m/>
    <n v="5268.59"/>
  </r>
  <r>
    <x v="1"/>
    <d v="2026-02-20T00:00:00"/>
    <s v="FIBRA ADMINISTRAÇÃO DE BENS E SERVIÇOS"/>
    <x v="4"/>
    <x v="6"/>
    <s v="Assessoria Financeira"/>
    <s v="TECNOMONTE"/>
    <s v="SANTANDER"/>
    <m/>
    <n v="4950"/>
  </r>
  <r>
    <x v="1"/>
    <d v="2026-02-20T00:00:00"/>
    <s v="NERI E NERI - CANTINA  LTDA - ME"/>
    <x v="6"/>
    <x v="32"/>
    <s v="Refeição"/>
    <s v="AGEO - BACIA 10"/>
    <s v="SANTANDER"/>
    <m/>
    <n v="3749.4"/>
  </r>
  <r>
    <x v="1"/>
    <d v="2026-02-20T00:00:00"/>
    <s v="PEFISA INDUSTRIA METALURGICA E COMERCIO"/>
    <x v="5"/>
    <x v="31"/>
    <s v="Materiais"/>
    <s v="INPASA - SIDRÔLANDIA"/>
    <s v="SANTANDER"/>
    <m/>
    <n v="3500"/>
  </r>
  <r>
    <x v="1"/>
    <d v="2026-02-20T00:00:00"/>
    <s v="BIBBIANA BERTOLACCINI VASCONCELOS"/>
    <x v="5"/>
    <x v="8"/>
    <s v="Trabalhista, Fiscal e Contratos "/>
    <s v="TECNOMONTE"/>
    <s v="SANTANDER"/>
    <m/>
    <n v="3500"/>
  </r>
  <r>
    <x v="1"/>
    <d v="2026-02-20T00:00:00"/>
    <s v="TRIBUNAL REGIONAL DO TRABALHO"/>
    <x v="5"/>
    <x v="51"/>
    <s v="Jailson Coelho da Rocha"/>
    <s v="TECNOMONTE"/>
    <s v="SANTANDER"/>
    <m/>
    <n v="3033.33"/>
  </r>
  <r>
    <x v="1"/>
    <d v="2026-02-20T00:00:00"/>
    <s v="RESCISÃO DO CONTRATO DE TRABALHO"/>
    <x v="2"/>
    <x v="2"/>
    <s v="LUCIVANIO ARAUJO DA SILVA"/>
    <s v="AGEO - BACIA 10"/>
    <s v="SANTANDER"/>
    <m/>
    <n v="2580.83"/>
  </r>
  <r>
    <x v="1"/>
    <d v="2026-02-20T00:00:00"/>
    <s v="TRIBUNAL REGIONAL DO TRABALHO"/>
    <x v="5"/>
    <x v="51"/>
    <s v="Jamilson Gonçalves de Sousa"/>
    <s v="TECNOMONTE"/>
    <s v="SANTANDER"/>
    <m/>
    <n v="2000"/>
  </r>
  <r>
    <x v="1"/>
    <d v="2026-02-20T00:00:00"/>
    <s v="ALEXANDRE MARCATO - ADTECH ENERGIA "/>
    <x v="5"/>
    <x v="31"/>
    <s v="Honorários Acordo"/>
    <s v="SMALL - PRESIDENTE PRUDENTE"/>
    <s v="SANTANDER"/>
    <m/>
    <n v="1991.38"/>
  </r>
  <r>
    <x v="1"/>
    <d v="2026-02-20T00:00:00"/>
    <s v="FOLHA DE PAGAMENTO "/>
    <x v="2"/>
    <x v="12"/>
    <s v="Adiantamento de Salários - Vale (POR FORA)"/>
    <s v="AGEO - BACIA 10"/>
    <s v="SANTANDER"/>
    <m/>
    <n v="1699.37"/>
  </r>
  <r>
    <x v="1"/>
    <d v="2026-02-20T00:00:00"/>
    <s v="TRIBUNAL REGIONAL DO TRABALHO"/>
    <x v="5"/>
    <x v="51"/>
    <s v="Honorários - Jailson Coelho da Rocha"/>
    <s v="TECNOMONTE"/>
    <s v="SANTANDER"/>
    <m/>
    <n v="1300"/>
  </r>
  <r>
    <x v="1"/>
    <d v="2026-02-20T00:00:00"/>
    <s v="GRRF - GUIA DE RECOLHIMENTO RESCISÓRIO DO FGTS"/>
    <x v="1"/>
    <x v="1"/>
    <s v="AGATHA CRISTINNY SANTOS DA SILVA"/>
    <s v="AGEO - HH"/>
    <s v="SANTANDER"/>
    <m/>
    <n v="843.84"/>
  </r>
  <r>
    <x v="1"/>
    <d v="2026-02-20T00:00:00"/>
    <s v="GRF - GUIA DE RECOLHIMENTO DO FGTS"/>
    <x v="1"/>
    <x v="35"/>
    <s v="Fgts"/>
    <s v="CESARI - CUBATÃO"/>
    <s v="SANTANDER"/>
    <m/>
    <n v="678.53"/>
  </r>
  <r>
    <x v="1"/>
    <d v="2026-02-20T00:00:00"/>
    <s v="TRIBUNAL REGIONAL DO TRABALHO"/>
    <x v="5"/>
    <x v="11"/>
    <s v="Juliana Tamires Fernandes"/>
    <s v="ANDRÉIA - PARTICULAR"/>
    <s v="PAGAMENTOS (ANDREIA)"/>
    <m/>
    <n v="500"/>
  </r>
  <r>
    <x v="1"/>
    <d v="2026-02-20T00:00:00"/>
    <s v="BANCO SANTANDER"/>
    <x v="3"/>
    <x v="3"/>
    <s v="TARIFAS"/>
    <s v="TECNOMONTE"/>
    <s v="SANTANDER"/>
    <m/>
    <n v="54"/>
  </r>
  <r>
    <x v="1"/>
    <d v="2026-02-20T00:00:00"/>
    <s v="BANCO SANTANDER"/>
    <x v="3"/>
    <x v="3"/>
    <s v="TARIFAS"/>
    <s v="TECNOMONTE"/>
    <s v="SANTANDER"/>
    <m/>
    <n v="5.05"/>
  </r>
  <r>
    <x v="1"/>
    <d v="2026-02-22T00:00:00"/>
    <s v="BRUNO GARCIA MORAIS "/>
    <x v="6"/>
    <x v="58"/>
    <s v="Manutenção FORD KA - (Veículo Bruno)"/>
    <s v="TECNOMONTE"/>
    <s v="SANTANDER"/>
    <m/>
    <n v="5480"/>
  </r>
  <r>
    <x v="1"/>
    <d v="2026-02-23T00:00:00"/>
    <s v="BANCO VOLKSWAGEN S.A"/>
    <x v="7"/>
    <x v="28"/>
    <s v="Caminhão"/>
    <s v="TECNOMONTE"/>
    <s v="SANTANDER"/>
    <m/>
    <n v="15705.85"/>
  </r>
  <r>
    <x v="1"/>
    <d v="2026-02-23T00:00:00"/>
    <s v="BANCO SAFRA"/>
    <x v="3"/>
    <x v="25"/>
    <s v="Refinanciamento - (R$ 436.800,00)"/>
    <s v="TECNOMONTE"/>
    <s v="SANTANDER"/>
    <m/>
    <n v="13788.21"/>
  </r>
  <r>
    <x v="1"/>
    <d v="2026-02-23T00:00:00"/>
    <s v="GENCONS TERRASSOS EMP. IMOB. LTDA"/>
    <x v="0"/>
    <x v="23"/>
    <s v="Lote H-20 - (Condomínio Terrassos)"/>
    <s v="ANDRÉIA - PARTICULAR"/>
    <s v="SANTANDER"/>
    <m/>
    <n v="9970.75"/>
  </r>
  <r>
    <x v="1"/>
    <d v="2026-02-23T00:00:00"/>
    <s v="GENCONS TERRASSOS EMP. IMOB. LTDA"/>
    <x v="0"/>
    <x v="23"/>
    <s v="Lote H-21 - (Condomínio Terrassos)"/>
    <s v="ANDRÉIA - PARTICULAR"/>
    <s v="SANTANDER"/>
    <m/>
    <n v="9010.28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3CCD2-AA50-4854-889F-35CC0A37C5A4}" name="Tabela dinâmica2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" firstHeaderRow="0" firstDataRow="0" firstDataCol="0"/>
  <pivotFields count="10">
    <pivotField axis="axisRow" showAll="0">
      <items count="5">
        <item sd="0" m="1" x="3"/>
        <item x="0"/>
        <item x="1"/>
        <item m="1" x="2"/>
        <item t="default"/>
      </items>
    </pivotField>
    <pivotField showAll="0"/>
    <pivotField showAll="0"/>
    <pivotField axis="axisRow" showAll="0">
      <items count="12">
        <item x="4"/>
        <item x="1"/>
        <item x="3"/>
        <item x="7"/>
        <item x="5"/>
        <item x="0"/>
        <item x="6"/>
        <item x="2"/>
        <item x="8"/>
        <item m="1" x="10"/>
        <item x="9"/>
        <item t="default"/>
      </items>
    </pivotField>
    <pivotField axis="axisRow" showAll="0">
      <items count="61">
        <item x="31"/>
        <item x="15"/>
        <item x="32"/>
        <item x="40"/>
        <item x="0"/>
        <item x="28"/>
        <item x="36"/>
        <item x="6"/>
        <item x="39"/>
        <item x="44"/>
        <item x="16"/>
        <item x="45"/>
        <item x="33"/>
        <item x="49"/>
        <item x="37"/>
        <item x="43"/>
        <item x="34"/>
        <item x="7"/>
        <item x="35"/>
        <item x="17"/>
        <item x="1"/>
        <item x="8"/>
        <item x="18"/>
        <item x="46"/>
        <item x="14"/>
        <item x="19"/>
        <item x="20"/>
        <item x="9"/>
        <item x="21"/>
        <item x="41"/>
        <item x="47"/>
        <item x="22"/>
        <item x="10"/>
        <item x="51"/>
        <item x="11"/>
        <item x="42"/>
        <item x="29"/>
        <item x="25"/>
        <item x="50"/>
        <item x="2"/>
        <item x="52"/>
        <item x="23"/>
        <item x="12"/>
        <item x="24"/>
        <item x="26"/>
        <item x="53"/>
        <item x="27"/>
        <item x="48"/>
        <item x="3"/>
        <item x="38"/>
        <item x="4"/>
        <item x="30"/>
        <item x="13"/>
        <item x="5"/>
        <item m="1" x="59"/>
        <item x="55"/>
        <item x="56"/>
        <item x="57"/>
        <item x="58"/>
        <item x="54"/>
        <item t="default"/>
      </items>
    </pivotField>
    <pivotField showAll="0"/>
    <pivotField showAll="0"/>
    <pivotField showAll="0"/>
    <pivotField showAll="0"/>
    <pivotField dataField="1" showAll="0"/>
  </pivotFields>
  <rowFields count="3">
    <field x="0"/>
    <field x="3"/>
    <field x="4"/>
  </rowFields>
  <rowItems count="116">
    <i>
      <x v="1"/>
    </i>
    <i r="1">
      <x/>
    </i>
    <i r="2">
      <x v="3"/>
    </i>
    <i r="2">
      <x v="7"/>
    </i>
    <i r="2">
      <x v="9"/>
    </i>
    <i r="2">
      <x v="10"/>
    </i>
    <i r="2">
      <x v="14"/>
    </i>
    <i r="2">
      <x v="23"/>
    </i>
    <i r="2">
      <x v="26"/>
    </i>
    <i r="2">
      <x v="27"/>
    </i>
    <i r="2">
      <x v="46"/>
    </i>
    <i r="2">
      <x v="49"/>
    </i>
    <i r="1">
      <x v="1"/>
    </i>
    <i r="2">
      <x v="11"/>
    </i>
    <i r="2">
      <x v="12"/>
    </i>
    <i r="2">
      <x v="16"/>
    </i>
    <i r="2">
      <x v="18"/>
    </i>
    <i r="2">
      <x v="20"/>
    </i>
    <i r="2">
      <x v="30"/>
    </i>
    <i r="2">
      <x v="44"/>
    </i>
    <i r="2">
      <x v="51"/>
    </i>
    <i r="2">
      <x v="52"/>
    </i>
    <i r="2">
      <x v="53"/>
    </i>
    <i r="1">
      <x v="2"/>
    </i>
    <i r="2">
      <x v="37"/>
    </i>
    <i r="2">
      <x v="38"/>
    </i>
    <i r="2">
      <x v="48"/>
    </i>
    <i r="1">
      <x v="3"/>
    </i>
    <i r="2">
      <x v="5"/>
    </i>
    <i r="2">
      <x v="15"/>
    </i>
    <i r="1">
      <x v="4"/>
    </i>
    <i r="2">
      <x/>
    </i>
    <i r="2">
      <x v="8"/>
    </i>
    <i r="2">
      <x v="13"/>
    </i>
    <i r="2">
      <x v="21"/>
    </i>
    <i r="2">
      <x v="34"/>
    </i>
    <i r="2">
      <x v="47"/>
    </i>
    <i r="1">
      <x v="5"/>
    </i>
    <i r="2">
      <x v="4"/>
    </i>
    <i r="2">
      <x v="36"/>
    </i>
    <i r="2">
      <x v="41"/>
    </i>
    <i r="2">
      <x v="50"/>
    </i>
    <i r="1">
      <x v="6"/>
    </i>
    <i r="2">
      <x v="2"/>
    </i>
    <i r="2">
      <x v="6"/>
    </i>
    <i r="2">
      <x v="19"/>
    </i>
    <i r="2">
      <x v="22"/>
    </i>
    <i r="2">
      <x v="24"/>
    </i>
    <i r="2">
      <x v="25"/>
    </i>
    <i r="2">
      <x v="28"/>
    </i>
    <i r="2">
      <x v="31"/>
    </i>
    <i r="2">
      <x v="35"/>
    </i>
    <i r="2">
      <x v="43"/>
    </i>
    <i r="1">
      <x v="7"/>
    </i>
    <i r="2">
      <x v="1"/>
    </i>
    <i r="2">
      <x v="17"/>
    </i>
    <i r="2">
      <x v="32"/>
    </i>
    <i r="2">
      <x v="39"/>
    </i>
    <i r="2">
      <x v="42"/>
    </i>
    <i r="1">
      <x v="8"/>
    </i>
    <i r="2">
      <x v="29"/>
    </i>
    <i>
      <x v="2"/>
    </i>
    <i r="1">
      <x/>
    </i>
    <i r="2">
      <x v="3"/>
    </i>
    <i r="2">
      <x v="7"/>
    </i>
    <i r="2">
      <x v="10"/>
    </i>
    <i r="2">
      <x v="27"/>
    </i>
    <i r="2">
      <x v="46"/>
    </i>
    <i r="2">
      <x v="55"/>
    </i>
    <i r="1">
      <x v="1"/>
    </i>
    <i r="2">
      <x v="12"/>
    </i>
    <i r="2">
      <x v="16"/>
    </i>
    <i r="2">
      <x v="18"/>
    </i>
    <i r="2">
      <x v="20"/>
    </i>
    <i r="2">
      <x v="44"/>
    </i>
    <i r="2">
      <x v="51"/>
    </i>
    <i r="2">
      <x v="52"/>
    </i>
    <i r="2">
      <x v="53"/>
    </i>
    <i r="1">
      <x v="2"/>
    </i>
    <i r="2">
      <x v="37"/>
    </i>
    <i r="2">
      <x v="40"/>
    </i>
    <i r="2">
      <x v="48"/>
    </i>
    <i r="1">
      <x v="3"/>
    </i>
    <i r="2">
      <x v="5"/>
    </i>
    <i r="2">
      <x v="15"/>
    </i>
    <i r="1">
      <x v="4"/>
    </i>
    <i r="2">
      <x/>
    </i>
    <i r="2">
      <x v="8"/>
    </i>
    <i r="2">
      <x v="21"/>
    </i>
    <i r="2">
      <x v="33"/>
    </i>
    <i r="2">
      <x v="34"/>
    </i>
    <i r="2">
      <x v="56"/>
    </i>
    <i r="1">
      <x v="5"/>
    </i>
    <i r="2">
      <x v="4"/>
    </i>
    <i r="2">
      <x v="36"/>
    </i>
    <i r="2">
      <x v="41"/>
    </i>
    <i r="2">
      <x v="50"/>
    </i>
    <i r="1">
      <x v="6"/>
    </i>
    <i r="2">
      <x v="2"/>
    </i>
    <i r="2">
      <x v="22"/>
    </i>
    <i r="2">
      <x v="25"/>
    </i>
    <i r="2">
      <x v="31"/>
    </i>
    <i r="2">
      <x v="35"/>
    </i>
    <i r="2">
      <x v="43"/>
    </i>
    <i r="2">
      <x v="45"/>
    </i>
    <i r="2">
      <x v="58"/>
    </i>
    <i r="1">
      <x v="7"/>
    </i>
    <i r="2">
      <x v="1"/>
    </i>
    <i r="2">
      <x v="17"/>
    </i>
    <i r="2">
      <x v="32"/>
    </i>
    <i r="2">
      <x v="39"/>
    </i>
    <i r="2">
      <x v="42"/>
    </i>
    <i r="2">
      <x v="57"/>
    </i>
    <i r="1">
      <x v="10"/>
    </i>
    <i r="2">
      <x v="59"/>
    </i>
    <i t="grand">
      <x/>
    </i>
  </rowItems>
  <colItems count="1">
    <i/>
  </colItems>
  <dataFields count="1">
    <dataField name="Soma de SAÍDAS" fld="9" baseField="0" baseItem="0" numFmtId="44"/>
  </dataFields>
  <formats count="2">
    <format dxfId="8948">
      <pivotArea outline="0" collapsedLevelsAreSubtotals="1" fieldPosition="0"/>
    </format>
    <format dxfId="89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116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9" dT="2026-01-05T19:46:24.93" personId="{65225AF0-5D6D-4953-A02E-C5C7DF0C24D0}" id="{F1D39D0B-0162-4B87-9698-334BA8C762F9}">
    <text>PAGAMENTO VIA PIX PELO SANTANDER DIA 02/01 - VOLTOU NA CONTA E FIZEMOS DIA 05/01 PELO BANCO BTG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C4A3-1BD5-40CE-95A9-814DD0109DDD}">
  <dimension ref="A1:J79"/>
  <sheetViews>
    <sheetView showGridLines="0" topLeftCell="A16" workbookViewId="0">
      <selection activeCell="C25" sqref="C25"/>
    </sheetView>
  </sheetViews>
  <sheetFormatPr baseColWidth="10" defaultColWidth="9.1640625" defaultRowHeight="24.75" customHeight="1" x14ac:dyDescent="0.15"/>
  <cols>
    <col min="1" max="1" width="18.6640625" style="21" customWidth="1"/>
    <col min="2" max="2" width="3.5" style="21" customWidth="1"/>
    <col min="3" max="3" width="21.5" style="21" customWidth="1"/>
    <col min="4" max="4" width="3.5" style="21" customWidth="1"/>
    <col min="5" max="5" width="18.1640625" style="21" customWidth="1"/>
    <col min="6" max="6" width="3.5" style="21" customWidth="1"/>
    <col min="7" max="7" width="18.5" style="21" customWidth="1"/>
    <col min="8" max="8" width="3.5" style="21" customWidth="1"/>
    <col min="9" max="9" width="39.83203125" style="21" customWidth="1"/>
    <col min="10" max="10" width="9.1640625" style="21" customWidth="1"/>
    <col min="11" max="16384" width="9.1640625" style="21"/>
  </cols>
  <sheetData>
    <row r="1" spans="1:10" ht="24.75" customHeight="1" x14ac:dyDescent="0.15">
      <c r="A1" s="22" t="s">
        <v>8</v>
      </c>
      <c r="B1" s="51"/>
      <c r="C1" s="22" t="s">
        <v>44</v>
      </c>
      <c r="D1" s="51"/>
      <c r="E1" s="22" t="s">
        <v>9</v>
      </c>
      <c r="F1" s="51"/>
      <c r="G1" s="22" t="s">
        <v>147</v>
      </c>
      <c r="I1" s="22" t="s">
        <v>152</v>
      </c>
    </row>
    <row r="2" spans="1:10" ht="24.75" customHeight="1" x14ac:dyDescent="0.15">
      <c r="A2" s="23" t="s">
        <v>0</v>
      </c>
      <c r="C2" s="31" t="s">
        <v>45</v>
      </c>
      <c r="E2" s="23" t="s">
        <v>10</v>
      </c>
      <c r="G2" s="31" t="s">
        <v>121</v>
      </c>
      <c r="I2" s="52" t="s">
        <v>45</v>
      </c>
      <c r="J2" s="40"/>
    </row>
    <row r="3" spans="1:10" ht="24.75" customHeight="1" x14ac:dyDescent="0.15">
      <c r="A3" s="23" t="s">
        <v>25</v>
      </c>
      <c r="C3" s="23" t="s">
        <v>24</v>
      </c>
      <c r="E3" s="23" t="s">
        <v>11</v>
      </c>
      <c r="G3" s="31" t="s">
        <v>122</v>
      </c>
      <c r="I3" s="38" t="s">
        <v>24</v>
      </c>
      <c r="J3" s="39"/>
    </row>
    <row r="4" spans="1:10" ht="24.75" customHeight="1" x14ac:dyDescent="0.15">
      <c r="A4" s="23" t="s">
        <v>15</v>
      </c>
      <c r="C4" s="23" t="s">
        <v>52</v>
      </c>
      <c r="E4" s="23" t="s">
        <v>17</v>
      </c>
      <c r="G4" s="31" t="s">
        <v>151</v>
      </c>
      <c r="I4" s="38" t="s">
        <v>52</v>
      </c>
      <c r="J4" s="39"/>
    </row>
    <row r="5" spans="1:10" ht="24.75" customHeight="1" x14ac:dyDescent="0.15">
      <c r="A5" s="23" t="s">
        <v>115</v>
      </c>
      <c r="C5" s="23" t="s">
        <v>100</v>
      </c>
      <c r="E5" s="23" t="s">
        <v>12</v>
      </c>
      <c r="G5" s="31" t="s">
        <v>87</v>
      </c>
      <c r="I5" s="38" t="s">
        <v>100</v>
      </c>
      <c r="J5" s="39"/>
    </row>
    <row r="6" spans="1:10" ht="24.75" customHeight="1" x14ac:dyDescent="0.15">
      <c r="A6" s="23" t="s">
        <v>116</v>
      </c>
      <c r="C6" s="23" t="s">
        <v>50</v>
      </c>
      <c r="E6" s="23" t="s">
        <v>18</v>
      </c>
      <c r="G6" s="31" t="s">
        <v>109</v>
      </c>
      <c r="I6" s="38" t="s">
        <v>50</v>
      </c>
      <c r="J6" s="39"/>
    </row>
    <row r="7" spans="1:10" ht="24.75" customHeight="1" x14ac:dyDescent="0.15">
      <c r="A7" s="23" t="s">
        <v>118</v>
      </c>
      <c r="C7" s="23" t="s">
        <v>48</v>
      </c>
      <c r="E7" s="23" t="s">
        <v>19</v>
      </c>
      <c r="G7" s="31" t="s">
        <v>123</v>
      </c>
      <c r="I7" s="38" t="s">
        <v>48</v>
      </c>
      <c r="J7" s="39"/>
    </row>
    <row r="8" spans="1:10" ht="24.75" customHeight="1" x14ac:dyDescent="0.15">
      <c r="A8" s="23" t="s">
        <v>120</v>
      </c>
      <c r="C8" s="23" t="s">
        <v>47</v>
      </c>
      <c r="E8" s="23" t="s">
        <v>16</v>
      </c>
      <c r="G8" s="31" t="s">
        <v>124</v>
      </c>
      <c r="I8" s="38" t="s">
        <v>47</v>
      </c>
      <c r="J8" s="39"/>
    </row>
    <row r="9" spans="1:10" ht="24.75" customHeight="1" x14ac:dyDescent="0.15">
      <c r="A9" s="23" t="s">
        <v>154</v>
      </c>
      <c r="C9" s="23" t="s">
        <v>46</v>
      </c>
      <c r="E9" s="23" t="s">
        <v>20</v>
      </c>
      <c r="G9" s="31" t="s">
        <v>125</v>
      </c>
      <c r="I9" s="38" t="s">
        <v>46</v>
      </c>
      <c r="J9" s="39"/>
    </row>
    <row r="10" spans="1:10" ht="24.75" customHeight="1" x14ac:dyDescent="0.15">
      <c r="A10" s="23" t="s">
        <v>155</v>
      </c>
      <c r="C10" s="23" t="s">
        <v>159</v>
      </c>
      <c r="E10" s="23" t="s">
        <v>21</v>
      </c>
      <c r="G10" s="31" t="s">
        <v>126</v>
      </c>
      <c r="I10" s="38" t="s">
        <v>159</v>
      </c>
      <c r="J10" s="39"/>
    </row>
    <row r="11" spans="1:10" ht="24.75" customHeight="1" x14ac:dyDescent="0.15">
      <c r="A11" s="23" t="s">
        <v>156</v>
      </c>
      <c r="C11" s="23" t="s">
        <v>51</v>
      </c>
      <c r="E11" s="23" t="s">
        <v>22</v>
      </c>
      <c r="G11" s="31" t="s">
        <v>105</v>
      </c>
      <c r="I11" s="38" t="s">
        <v>51</v>
      </c>
      <c r="J11" s="39"/>
    </row>
    <row r="12" spans="1:10" ht="24.75" customHeight="1" x14ac:dyDescent="0.15">
      <c r="A12" s="23" t="s">
        <v>158</v>
      </c>
      <c r="C12" s="23" t="s">
        <v>102</v>
      </c>
      <c r="E12" s="23" t="s">
        <v>6</v>
      </c>
      <c r="G12" s="31" t="s">
        <v>127</v>
      </c>
      <c r="I12" s="38" t="s">
        <v>102</v>
      </c>
      <c r="J12" s="39"/>
    </row>
    <row r="13" spans="1:10" ht="24.75" customHeight="1" x14ac:dyDescent="0.15">
      <c r="A13" s="23" t="s">
        <v>177</v>
      </c>
      <c r="C13" s="23" t="s">
        <v>113</v>
      </c>
      <c r="E13" s="23" t="s">
        <v>15</v>
      </c>
      <c r="G13" s="31" t="s">
        <v>165</v>
      </c>
      <c r="I13" s="38" t="s">
        <v>113</v>
      </c>
      <c r="J13" s="39"/>
    </row>
    <row r="14" spans="1:10" ht="24.75" customHeight="1" x14ac:dyDescent="0.15">
      <c r="A14" s="23" t="s">
        <v>231</v>
      </c>
      <c r="C14" s="23" t="s">
        <v>117</v>
      </c>
      <c r="E14" s="23" t="s">
        <v>23</v>
      </c>
      <c r="G14" s="31" t="s">
        <v>103</v>
      </c>
      <c r="I14" s="38" t="s">
        <v>117</v>
      </c>
      <c r="J14" s="39"/>
    </row>
    <row r="15" spans="1:10" ht="24.75" customHeight="1" x14ac:dyDescent="0.15">
      <c r="A15" s="23" t="s">
        <v>233</v>
      </c>
      <c r="C15" s="23" t="s">
        <v>157</v>
      </c>
      <c r="E15" s="23"/>
      <c r="G15" s="31" t="s">
        <v>171</v>
      </c>
      <c r="I15" s="38" t="s">
        <v>157</v>
      </c>
    </row>
    <row r="16" spans="1:10" ht="24.75" customHeight="1" x14ac:dyDescent="0.15">
      <c r="A16" s="23" t="s">
        <v>234</v>
      </c>
      <c r="C16" s="23" t="s">
        <v>119</v>
      </c>
      <c r="E16" s="23"/>
      <c r="G16" s="31" t="s">
        <v>108</v>
      </c>
      <c r="I16" s="38" t="s">
        <v>119</v>
      </c>
    </row>
    <row r="17" spans="1:9" ht="24.75" customHeight="1" x14ac:dyDescent="0.15">
      <c r="A17" s="23"/>
      <c r="C17" s="23" t="s">
        <v>163</v>
      </c>
      <c r="E17" s="23"/>
      <c r="G17" s="31" t="s">
        <v>128</v>
      </c>
      <c r="I17" s="38" t="s">
        <v>163</v>
      </c>
    </row>
    <row r="18" spans="1:9" ht="24.75" customHeight="1" x14ac:dyDescent="0.15">
      <c r="A18" s="23"/>
      <c r="C18" s="23" t="s">
        <v>168</v>
      </c>
      <c r="E18" s="23"/>
      <c r="G18" s="31" t="s">
        <v>93</v>
      </c>
      <c r="I18" s="38" t="s">
        <v>168</v>
      </c>
    </row>
    <row r="19" spans="1:9" ht="24.75" customHeight="1" x14ac:dyDescent="0.15">
      <c r="A19" s="23"/>
      <c r="C19" s="23" t="s">
        <v>180</v>
      </c>
      <c r="E19" s="23"/>
      <c r="G19" s="31" t="s">
        <v>84</v>
      </c>
      <c r="I19" s="38" t="s">
        <v>180</v>
      </c>
    </row>
    <row r="20" spans="1:9" ht="24.75" customHeight="1" x14ac:dyDescent="0.15">
      <c r="A20" s="23"/>
      <c r="C20" s="23" t="s">
        <v>176</v>
      </c>
      <c r="E20" s="23"/>
      <c r="G20" s="31" t="s">
        <v>150</v>
      </c>
      <c r="I20" s="38" t="s">
        <v>176</v>
      </c>
    </row>
    <row r="21" spans="1:9" ht="24.75" customHeight="1" x14ac:dyDescent="0.15">
      <c r="A21" s="23"/>
      <c r="C21" s="23" t="s">
        <v>185</v>
      </c>
      <c r="E21" s="23"/>
      <c r="G21" s="31" t="s">
        <v>40</v>
      </c>
      <c r="I21" s="23" t="s">
        <v>200</v>
      </c>
    </row>
    <row r="22" spans="1:9" ht="24.75" customHeight="1" x14ac:dyDescent="0.15">
      <c r="A22" s="23"/>
      <c r="C22" s="23" t="s">
        <v>200</v>
      </c>
      <c r="E22" s="23"/>
      <c r="G22" s="31" t="s">
        <v>129</v>
      </c>
      <c r="I22" s="23"/>
    </row>
    <row r="23" spans="1:9" ht="24.75" customHeight="1" x14ac:dyDescent="0.15">
      <c r="A23" s="23"/>
      <c r="C23" s="23" t="s">
        <v>205</v>
      </c>
      <c r="E23" s="23"/>
      <c r="G23" s="31" t="s">
        <v>130</v>
      </c>
      <c r="I23" s="23"/>
    </row>
    <row r="24" spans="1:9" ht="24.75" customHeight="1" x14ac:dyDescent="0.15">
      <c r="A24" s="23"/>
      <c r="C24" s="23" t="s">
        <v>210</v>
      </c>
      <c r="E24" s="23"/>
      <c r="G24" s="31" t="s">
        <v>106</v>
      </c>
      <c r="I24" s="23"/>
    </row>
    <row r="25" spans="1:9" ht="24.75" customHeight="1" x14ac:dyDescent="0.15">
      <c r="A25" s="23"/>
      <c r="C25" s="23" t="s">
        <v>293</v>
      </c>
      <c r="E25" s="23"/>
      <c r="G25" s="31" t="s">
        <v>101</v>
      </c>
      <c r="I25" s="23"/>
    </row>
    <row r="26" spans="1:9" ht="24.75" customHeight="1" x14ac:dyDescent="0.15">
      <c r="A26" s="23"/>
      <c r="C26" s="23"/>
      <c r="E26" s="23"/>
      <c r="G26" s="31" t="s">
        <v>131</v>
      </c>
      <c r="I26" s="23"/>
    </row>
    <row r="27" spans="1:9" ht="24.75" customHeight="1" x14ac:dyDescent="0.15">
      <c r="A27" s="23"/>
      <c r="C27" s="23"/>
      <c r="E27" s="23"/>
      <c r="G27" s="31" t="s">
        <v>132</v>
      </c>
      <c r="I27" s="23"/>
    </row>
    <row r="28" spans="1:9" ht="24.75" customHeight="1" x14ac:dyDescent="0.15">
      <c r="A28" s="23"/>
      <c r="C28" s="23"/>
      <c r="E28" s="23"/>
      <c r="G28" s="31" t="s">
        <v>133</v>
      </c>
      <c r="I28" s="23"/>
    </row>
    <row r="29" spans="1:9" ht="24.75" customHeight="1" x14ac:dyDescent="0.15">
      <c r="A29" s="23"/>
      <c r="C29" s="23"/>
      <c r="E29" s="23"/>
      <c r="G29" s="31" t="s">
        <v>134</v>
      </c>
      <c r="I29" s="23"/>
    </row>
    <row r="30" spans="1:9" ht="24.75" customHeight="1" x14ac:dyDescent="0.15">
      <c r="A30" s="23"/>
      <c r="C30" s="23"/>
      <c r="E30" s="23"/>
      <c r="G30" s="31" t="s">
        <v>149</v>
      </c>
      <c r="I30" s="23"/>
    </row>
    <row r="31" spans="1:9" ht="24.75" customHeight="1" x14ac:dyDescent="0.15">
      <c r="A31" s="23"/>
      <c r="C31" s="23"/>
      <c r="E31" s="23"/>
      <c r="G31" s="31" t="s">
        <v>61</v>
      </c>
    </row>
    <row r="32" spans="1:9" ht="24.75" customHeight="1" x14ac:dyDescent="0.15">
      <c r="A32" s="23"/>
      <c r="C32" s="23"/>
      <c r="E32" s="23"/>
      <c r="G32" s="31" t="s">
        <v>30</v>
      </c>
    </row>
    <row r="33" spans="1:7" ht="24.75" customHeight="1" x14ac:dyDescent="0.15">
      <c r="A33" s="23"/>
      <c r="C33" s="23"/>
      <c r="E33" s="23"/>
      <c r="G33" s="31" t="s">
        <v>135</v>
      </c>
    </row>
    <row r="34" spans="1:7" ht="24.75" customHeight="1" x14ac:dyDescent="0.15">
      <c r="A34" s="23"/>
      <c r="C34" s="23"/>
      <c r="E34" s="23"/>
      <c r="G34" s="31" t="s">
        <v>136</v>
      </c>
    </row>
    <row r="35" spans="1:7" ht="24.75" customHeight="1" x14ac:dyDescent="0.15">
      <c r="A35" s="23"/>
      <c r="C35" s="23"/>
      <c r="E35" s="23"/>
      <c r="G35" s="31" t="s">
        <v>137</v>
      </c>
    </row>
    <row r="36" spans="1:7" ht="24.75" customHeight="1" x14ac:dyDescent="0.15">
      <c r="A36" s="23"/>
      <c r="C36" s="23"/>
      <c r="E36" s="23"/>
      <c r="G36" s="31" t="s">
        <v>31</v>
      </c>
    </row>
    <row r="37" spans="1:7" ht="24.75" customHeight="1" x14ac:dyDescent="0.15">
      <c r="A37" s="23"/>
      <c r="C37" s="23"/>
      <c r="E37" s="23"/>
      <c r="G37" s="31" t="s">
        <v>138</v>
      </c>
    </row>
    <row r="38" spans="1:7" ht="24.75" customHeight="1" x14ac:dyDescent="0.15">
      <c r="A38" s="23"/>
      <c r="C38" s="23"/>
      <c r="E38" s="23"/>
      <c r="G38" s="31" t="s">
        <v>139</v>
      </c>
    </row>
    <row r="39" spans="1:7" ht="24.75" customHeight="1" x14ac:dyDescent="0.15">
      <c r="A39" s="23"/>
      <c r="C39" s="23"/>
      <c r="E39" s="23"/>
      <c r="G39" s="31" t="s">
        <v>153</v>
      </c>
    </row>
    <row r="40" spans="1:7" ht="24.75" customHeight="1" x14ac:dyDescent="0.15">
      <c r="A40" s="23"/>
      <c r="C40" s="23"/>
      <c r="E40" s="23"/>
      <c r="G40" s="31" t="s">
        <v>90</v>
      </c>
    </row>
    <row r="41" spans="1:7" ht="24.75" customHeight="1" x14ac:dyDescent="0.15">
      <c r="A41" s="23"/>
      <c r="C41" s="23"/>
      <c r="E41" s="23"/>
      <c r="G41" s="31" t="s">
        <v>41</v>
      </c>
    </row>
    <row r="42" spans="1:7" ht="24.75" customHeight="1" x14ac:dyDescent="0.15">
      <c r="A42" s="23"/>
      <c r="C42" s="23"/>
      <c r="E42" s="23"/>
      <c r="G42" s="31" t="s">
        <v>140</v>
      </c>
    </row>
    <row r="43" spans="1:7" ht="24.75" customHeight="1" x14ac:dyDescent="0.15">
      <c r="A43" s="23"/>
      <c r="C43" s="23"/>
      <c r="E43" s="23"/>
      <c r="G43" s="31" t="s">
        <v>64</v>
      </c>
    </row>
    <row r="44" spans="1:7" ht="24.75" customHeight="1" x14ac:dyDescent="0.15">
      <c r="A44" s="23"/>
      <c r="C44" s="23"/>
      <c r="E44" s="23"/>
      <c r="G44" s="31" t="s">
        <v>141</v>
      </c>
    </row>
    <row r="45" spans="1:7" ht="24.75" customHeight="1" x14ac:dyDescent="0.15">
      <c r="A45" s="23"/>
      <c r="C45" s="23"/>
      <c r="E45" s="23"/>
      <c r="G45" s="31" t="s">
        <v>54</v>
      </c>
    </row>
    <row r="46" spans="1:7" ht="24.75" customHeight="1" x14ac:dyDescent="0.15">
      <c r="A46" s="23"/>
      <c r="C46" s="23"/>
      <c r="E46" s="23"/>
      <c r="G46" s="31" t="s">
        <v>142</v>
      </c>
    </row>
    <row r="47" spans="1:7" ht="24.75" customHeight="1" x14ac:dyDescent="0.15">
      <c r="A47" s="23"/>
      <c r="C47" s="23"/>
      <c r="E47" s="23"/>
      <c r="G47" s="31" t="s">
        <v>143</v>
      </c>
    </row>
    <row r="48" spans="1:7" ht="24.75" customHeight="1" x14ac:dyDescent="0.15">
      <c r="A48" s="23"/>
      <c r="C48" s="23"/>
      <c r="E48" s="23"/>
      <c r="G48" s="31" t="s">
        <v>144</v>
      </c>
    </row>
    <row r="49" spans="1:7" ht="24.75" customHeight="1" x14ac:dyDescent="0.15">
      <c r="A49" s="23"/>
      <c r="C49" s="23"/>
      <c r="E49" s="23"/>
      <c r="G49" s="31" t="s">
        <v>148</v>
      </c>
    </row>
    <row r="50" spans="1:7" ht="24.75" customHeight="1" x14ac:dyDescent="0.15">
      <c r="A50" s="23"/>
      <c r="C50" s="23"/>
      <c r="E50" s="23"/>
      <c r="G50" s="31" t="s">
        <v>146</v>
      </c>
    </row>
    <row r="51" spans="1:7" ht="24.75" customHeight="1" x14ac:dyDescent="0.15">
      <c r="A51" s="23"/>
      <c r="C51" s="23"/>
      <c r="E51" s="23"/>
      <c r="G51" s="31" t="s">
        <v>145</v>
      </c>
    </row>
    <row r="52" spans="1:7" ht="24.75" customHeight="1" x14ac:dyDescent="0.15">
      <c r="A52" s="23"/>
      <c r="C52" s="23"/>
      <c r="E52" s="23"/>
      <c r="G52" s="31"/>
    </row>
    <row r="53" spans="1:7" ht="24.75" customHeight="1" x14ac:dyDescent="0.15">
      <c r="A53" s="23"/>
      <c r="C53" s="23"/>
      <c r="E53" s="23"/>
      <c r="G53" s="23"/>
    </row>
    <row r="54" spans="1:7" ht="24.75" customHeight="1" x14ac:dyDescent="0.15">
      <c r="A54" s="23"/>
      <c r="C54" s="23"/>
      <c r="E54" s="23"/>
      <c r="G54" s="23"/>
    </row>
    <row r="55" spans="1:7" ht="24.75" customHeight="1" x14ac:dyDescent="0.15">
      <c r="A55" s="23"/>
      <c r="C55" s="23"/>
      <c r="E55" s="23"/>
      <c r="G55" s="23"/>
    </row>
    <row r="56" spans="1:7" ht="24.75" customHeight="1" x14ac:dyDescent="0.15">
      <c r="A56" s="23"/>
      <c r="C56" s="23"/>
      <c r="E56" s="23"/>
      <c r="G56" s="23"/>
    </row>
    <row r="57" spans="1:7" ht="24.75" customHeight="1" x14ac:dyDescent="0.15">
      <c r="A57" s="23"/>
      <c r="C57" s="23"/>
      <c r="E57" s="23"/>
      <c r="G57" s="23"/>
    </row>
    <row r="58" spans="1:7" ht="24.75" customHeight="1" x14ac:dyDescent="0.15">
      <c r="A58" s="23"/>
      <c r="C58" s="23"/>
      <c r="E58" s="23"/>
      <c r="G58" s="23"/>
    </row>
    <row r="59" spans="1:7" ht="24.75" customHeight="1" x14ac:dyDescent="0.15">
      <c r="A59" s="23"/>
      <c r="C59" s="23"/>
      <c r="E59" s="23"/>
      <c r="G59" s="23"/>
    </row>
    <row r="60" spans="1:7" ht="24.75" customHeight="1" x14ac:dyDescent="0.15">
      <c r="A60" s="23"/>
      <c r="C60" s="23"/>
      <c r="E60" s="23"/>
      <c r="G60" s="23"/>
    </row>
    <row r="61" spans="1:7" ht="24.75" customHeight="1" x14ac:dyDescent="0.15">
      <c r="A61" s="23"/>
      <c r="C61" s="23"/>
      <c r="E61" s="23"/>
      <c r="G61" s="23"/>
    </row>
    <row r="62" spans="1:7" ht="24.75" customHeight="1" x14ac:dyDescent="0.15">
      <c r="A62" s="23"/>
      <c r="C62" s="23"/>
      <c r="E62" s="23"/>
      <c r="G62" s="23"/>
    </row>
    <row r="63" spans="1:7" ht="24.75" customHeight="1" x14ac:dyDescent="0.15">
      <c r="A63" s="23"/>
      <c r="C63" s="23"/>
      <c r="E63" s="23"/>
      <c r="G63" s="23"/>
    </row>
    <row r="64" spans="1:7" ht="24.75" customHeight="1" x14ac:dyDescent="0.15">
      <c r="A64" s="23"/>
      <c r="C64" s="23"/>
      <c r="E64" s="23"/>
      <c r="G64" s="23"/>
    </row>
    <row r="65" spans="1:7" ht="24.75" customHeight="1" x14ac:dyDescent="0.15">
      <c r="A65" s="23"/>
      <c r="C65" s="23"/>
      <c r="E65" s="23"/>
      <c r="G65" s="23"/>
    </row>
    <row r="66" spans="1:7" ht="24.75" customHeight="1" x14ac:dyDescent="0.15">
      <c r="A66" s="23"/>
      <c r="C66" s="23"/>
      <c r="E66" s="23"/>
      <c r="G66" s="23"/>
    </row>
    <row r="67" spans="1:7" ht="24.75" customHeight="1" x14ac:dyDescent="0.15">
      <c r="A67" s="23"/>
      <c r="C67" s="23"/>
      <c r="E67" s="23"/>
      <c r="G67" s="23"/>
    </row>
    <row r="68" spans="1:7" ht="24.75" customHeight="1" x14ac:dyDescent="0.15">
      <c r="A68" s="23"/>
      <c r="C68" s="23"/>
      <c r="E68" s="23"/>
      <c r="G68" s="23"/>
    </row>
    <row r="69" spans="1:7" ht="24.75" customHeight="1" x14ac:dyDescent="0.15">
      <c r="A69" s="23"/>
      <c r="C69" s="23"/>
      <c r="E69" s="23"/>
      <c r="G69" s="23"/>
    </row>
    <row r="70" spans="1:7" ht="24.75" customHeight="1" x14ac:dyDescent="0.15">
      <c r="A70" s="23"/>
      <c r="C70" s="23"/>
      <c r="E70" s="23"/>
      <c r="G70" s="23"/>
    </row>
    <row r="71" spans="1:7" ht="24.75" customHeight="1" x14ac:dyDescent="0.15">
      <c r="A71" s="23"/>
      <c r="C71" s="23"/>
      <c r="E71" s="23"/>
      <c r="G71" s="23"/>
    </row>
    <row r="72" spans="1:7" ht="24.75" customHeight="1" x14ac:dyDescent="0.15">
      <c r="A72" s="23"/>
      <c r="C72" s="23"/>
      <c r="E72" s="23"/>
      <c r="G72" s="23"/>
    </row>
    <row r="73" spans="1:7" ht="24.75" customHeight="1" x14ac:dyDescent="0.15">
      <c r="A73" s="23"/>
      <c r="C73" s="23"/>
      <c r="E73" s="23"/>
      <c r="G73" s="23"/>
    </row>
    <row r="74" spans="1:7" ht="24.75" customHeight="1" x14ac:dyDescent="0.15">
      <c r="A74" s="23"/>
      <c r="C74" s="23"/>
      <c r="E74" s="23"/>
      <c r="G74" s="23"/>
    </row>
    <row r="75" spans="1:7" ht="24.75" customHeight="1" x14ac:dyDescent="0.15">
      <c r="A75" s="23"/>
      <c r="C75" s="23"/>
      <c r="E75" s="23"/>
      <c r="G75" s="23"/>
    </row>
    <row r="76" spans="1:7" ht="24.75" customHeight="1" x14ac:dyDescent="0.15">
      <c r="A76" s="23"/>
      <c r="C76" s="23"/>
      <c r="E76" s="23"/>
      <c r="G76" s="23"/>
    </row>
    <row r="77" spans="1:7" ht="24.75" customHeight="1" x14ac:dyDescent="0.15">
      <c r="A77" s="23"/>
      <c r="C77" s="23"/>
      <c r="E77" s="23"/>
      <c r="G77" s="23"/>
    </row>
    <row r="78" spans="1:7" ht="24.75" customHeight="1" x14ac:dyDescent="0.15">
      <c r="A78" s="23"/>
      <c r="C78" s="23"/>
      <c r="E78" s="23"/>
      <c r="G78" s="23"/>
    </row>
    <row r="79" spans="1:7" ht="24.75" customHeight="1" x14ac:dyDescent="0.15">
      <c r="A79" s="23"/>
      <c r="C79" s="23"/>
      <c r="E79" s="23"/>
      <c r="G79" s="23"/>
    </row>
  </sheetData>
  <autoFilter ref="G1:G79" xr:uid="{567DA2CE-4F43-462D-842A-BA82C38FA84A}">
    <sortState xmlns:xlrd2="http://schemas.microsoft.com/office/spreadsheetml/2017/richdata2" ref="G2:G79">
      <sortCondition ref="G1:G79"/>
    </sortState>
  </autoFilter>
  <conditionalFormatting sqref="C2">
    <cfRule type="cellIs" dxfId="8946" priority="1" operator="equal">
      <formula>"IDENTIFICAR"</formula>
    </cfRule>
  </conditionalFormatting>
  <conditionalFormatting sqref="I2">
    <cfRule type="cellIs" dxfId="8945" priority="2" operator="equal">
      <formula>"IDENTIFICAR"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DD5C-196B-470D-BFFA-428E71AAD10C}">
  <sheetPr filterMode="1"/>
  <dimension ref="A1:R512"/>
  <sheetViews>
    <sheetView showGridLines="0" tabSelected="1" zoomScale="115" zoomScaleNormal="100" workbookViewId="0">
      <pane xSplit="1" ySplit="4" topLeftCell="B341" activePane="bottomRight" state="frozen"/>
      <selection activeCell="D205" sqref="D205:F205"/>
      <selection pane="topRight" activeCell="D205" sqref="D205:F205"/>
      <selection pane="bottomLeft" activeCell="D205" sqref="D205:F205"/>
      <selection pane="bottomRight" activeCell="H353" sqref="H353"/>
    </sheetView>
  </sheetViews>
  <sheetFormatPr baseColWidth="10" defaultColWidth="9.1640625" defaultRowHeight="21" customHeight="1" x14ac:dyDescent="0.15"/>
  <cols>
    <col min="1" max="1" width="0.83203125" style="1" customWidth="1"/>
    <col min="2" max="2" width="10.33203125" style="1" customWidth="1"/>
    <col min="3" max="3" width="11.5" style="1" customWidth="1"/>
    <col min="4" max="4" width="32" style="1" customWidth="1"/>
    <col min="5" max="5" width="17" style="1" customWidth="1"/>
    <col min="6" max="6" width="18.1640625" style="1" customWidth="1"/>
    <col min="7" max="7" width="29.33203125" style="1" customWidth="1"/>
    <col min="8" max="8" width="16.83203125" style="1" customWidth="1"/>
    <col min="9" max="9" width="14.33203125" style="1" customWidth="1"/>
    <col min="10" max="10" width="18.1640625" style="1" customWidth="1"/>
    <col min="11" max="11" width="17.5" style="1" customWidth="1"/>
    <col min="12" max="12" width="0.83203125" style="1" customWidth="1"/>
    <col min="13" max="16384" width="9.1640625" style="1"/>
  </cols>
  <sheetData>
    <row r="1" spans="1:12" ht="6" customHeight="1" x14ac:dyDescent="0.1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ht="33.75" customHeight="1" x14ac:dyDescent="0.15">
      <c r="A2" s="16"/>
      <c r="B2" s="108" t="s">
        <v>24</v>
      </c>
      <c r="C2" s="108"/>
      <c r="D2" s="108"/>
      <c r="E2" s="108"/>
      <c r="F2" s="108"/>
      <c r="G2" s="108"/>
      <c r="H2" s="108"/>
      <c r="I2" s="108"/>
      <c r="J2" s="108"/>
      <c r="K2" s="108"/>
      <c r="L2" s="17"/>
    </row>
    <row r="3" spans="1:12" ht="28.5" customHeight="1" x14ac:dyDescent="0.15">
      <c r="A3" s="105" t="s">
        <v>357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2" ht="30.75" customHeight="1" x14ac:dyDescent="0.15">
      <c r="A4" s="18"/>
      <c r="B4" s="30" t="s">
        <v>358</v>
      </c>
      <c r="C4" s="30" t="s">
        <v>1</v>
      </c>
      <c r="D4" s="30" t="s">
        <v>26</v>
      </c>
      <c r="E4" s="30" t="s">
        <v>306</v>
      </c>
      <c r="F4" s="30" t="s">
        <v>307</v>
      </c>
      <c r="G4" s="30" t="s">
        <v>2</v>
      </c>
      <c r="H4" s="30" t="s">
        <v>44</v>
      </c>
      <c r="I4" s="55" t="s">
        <v>8</v>
      </c>
      <c r="J4" s="10" t="s">
        <v>4</v>
      </c>
      <c r="K4" s="11" t="s">
        <v>5</v>
      </c>
      <c r="L4" s="19"/>
    </row>
    <row r="5" spans="1:12" ht="24.75" hidden="1" customHeight="1" x14ac:dyDescent="0.15">
      <c r="A5" s="18"/>
      <c r="B5" s="69" t="str">
        <f t="shared" ref="B5:B68" si="0">TEXT(C5,"mm/aaaa")</f>
        <v>01/2026</v>
      </c>
      <c r="C5" s="9">
        <v>46024</v>
      </c>
      <c r="D5" s="8" t="s">
        <v>63</v>
      </c>
      <c r="E5" s="46" t="s">
        <v>339</v>
      </c>
      <c r="F5" s="46" t="s">
        <v>341</v>
      </c>
      <c r="G5" s="4" t="s">
        <v>119</v>
      </c>
      <c r="H5" s="37" t="s">
        <v>119</v>
      </c>
      <c r="I5" s="56" t="s">
        <v>25</v>
      </c>
      <c r="J5" s="34">
        <v>24090</v>
      </c>
      <c r="K5" s="33"/>
      <c r="L5" s="19"/>
    </row>
    <row r="6" spans="1:12" ht="24.75" hidden="1" customHeight="1" x14ac:dyDescent="0.15">
      <c r="A6" s="18"/>
      <c r="B6" s="69" t="str">
        <f t="shared" si="0"/>
        <v>01/2026</v>
      </c>
      <c r="C6" s="9">
        <v>46024</v>
      </c>
      <c r="D6" s="47" t="s">
        <v>68</v>
      </c>
      <c r="E6" s="46" t="s">
        <v>311</v>
      </c>
      <c r="F6" s="46" t="s">
        <v>312</v>
      </c>
      <c r="G6" s="4" t="s">
        <v>259</v>
      </c>
      <c r="H6" s="46" t="s">
        <v>363</v>
      </c>
      <c r="I6" s="56" t="s">
        <v>25</v>
      </c>
      <c r="J6" s="35"/>
      <c r="K6" s="33">
        <v>816.95</v>
      </c>
      <c r="L6" s="19"/>
    </row>
    <row r="7" spans="1:12" ht="24.75" hidden="1" customHeight="1" x14ac:dyDescent="0.15">
      <c r="A7" s="18"/>
      <c r="B7" s="69" t="str">
        <f t="shared" si="0"/>
        <v>01/2026</v>
      </c>
      <c r="C7" s="9">
        <v>46024</v>
      </c>
      <c r="D7" s="47" t="s">
        <v>68</v>
      </c>
      <c r="E7" s="46" t="s">
        <v>311</v>
      </c>
      <c r="F7" s="46" t="s">
        <v>312</v>
      </c>
      <c r="G7" s="4" t="s">
        <v>260</v>
      </c>
      <c r="H7" s="46" t="s">
        <v>363</v>
      </c>
      <c r="I7" s="56" t="s">
        <v>25</v>
      </c>
      <c r="J7" s="34"/>
      <c r="K7" s="33">
        <v>774.59</v>
      </c>
      <c r="L7" s="19"/>
    </row>
    <row r="8" spans="1:12" ht="24.75" hidden="1" customHeight="1" x14ac:dyDescent="0.15">
      <c r="A8" s="18"/>
      <c r="B8" s="69" t="str">
        <f t="shared" si="0"/>
        <v>01/2026</v>
      </c>
      <c r="C8" s="9">
        <v>46024</v>
      </c>
      <c r="D8" s="47" t="s">
        <v>68</v>
      </c>
      <c r="E8" s="46" t="s">
        <v>311</v>
      </c>
      <c r="F8" s="46" t="s">
        <v>312</v>
      </c>
      <c r="G8" s="4" t="s">
        <v>257</v>
      </c>
      <c r="H8" s="46" t="s">
        <v>363</v>
      </c>
      <c r="I8" s="56" t="s">
        <v>25</v>
      </c>
      <c r="J8" s="34"/>
      <c r="K8" s="33">
        <v>1335.73</v>
      </c>
      <c r="L8" s="19"/>
    </row>
    <row r="9" spans="1:12" ht="24.75" hidden="1" customHeight="1" x14ac:dyDescent="0.15">
      <c r="A9" s="18"/>
      <c r="B9" s="69" t="str">
        <f t="shared" si="0"/>
        <v>01/2026</v>
      </c>
      <c r="C9" s="9">
        <v>46024</v>
      </c>
      <c r="D9" s="47" t="s">
        <v>68</v>
      </c>
      <c r="E9" s="46" t="s">
        <v>311</v>
      </c>
      <c r="F9" s="46" t="s">
        <v>312</v>
      </c>
      <c r="G9" s="4" t="s">
        <v>261</v>
      </c>
      <c r="H9" s="46" t="s">
        <v>363</v>
      </c>
      <c r="I9" s="56" t="s">
        <v>25</v>
      </c>
      <c r="J9" s="34"/>
      <c r="K9" s="33">
        <v>154.84</v>
      </c>
      <c r="L9" s="19"/>
    </row>
    <row r="10" spans="1:12" ht="24.75" hidden="1" customHeight="1" x14ac:dyDescent="0.15">
      <c r="A10" s="18"/>
      <c r="B10" s="69" t="str">
        <f t="shared" si="0"/>
        <v>01/2026</v>
      </c>
      <c r="C10" s="9">
        <v>46024</v>
      </c>
      <c r="D10" s="8" t="s">
        <v>68</v>
      </c>
      <c r="E10" s="46" t="s">
        <v>311</v>
      </c>
      <c r="F10" s="46" t="s">
        <v>312</v>
      </c>
      <c r="G10" s="4" t="s">
        <v>255</v>
      </c>
      <c r="H10" s="46" t="s">
        <v>363</v>
      </c>
      <c r="I10" s="56" t="s">
        <v>25</v>
      </c>
      <c r="J10" s="34"/>
      <c r="K10" s="33">
        <v>361.09</v>
      </c>
      <c r="L10" s="19"/>
    </row>
    <row r="11" spans="1:12" ht="24.75" hidden="1" customHeight="1" x14ac:dyDescent="0.15">
      <c r="A11" s="18"/>
      <c r="B11" s="69" t="str">
        <f t="shared" si="0"/>
        <v>01/2026</v>
      </c>
      <c r="C11" s="9">
        <v>46024</v>
      </c>
      <c r="D11" s="8" t="s">
        <v>68</v>
      </c>
      <c r="E11" s="46" t="s">
        <v>311</v>
      </c>
      <c r="F11" s="46" t="s">
        <v>312</v>
      </c>
      <c r="G11" s="4" t="s">
        <v>221</v>
      </c>
      <c r="H11" s="46" t="s">
        <v>363</v>
      </c>
      <c r="I11" s="56" t="s">
        <v>25</v>
      </c>
      <c r="J11" s="34"/>
      <c r="K11" s="33">
        <v>2865.26</v>
      </c>
      <c r="L11" s="19"/>
    </row>
    <row r="12" spans="1:12" ht="24.75" hidden="1" customHeight="1" x14ac:dyDescent="0.15">
      <c r="A12" s="18"/>
      <c r="B12" s="69" t="str">
        <f t="shared" si="0"/>
        <v>01/2026</v>
      </c>
      <c r="C12" s="9">
        <v>46024</v>
      </c>
      <c r="D12" s="47" t="s">
        <v>68</v>
      </c>
      <c r="E12" s="46" t="s">
        <v>311</v>
      </c>
      <c r="F12" s="46" t="s">
        <v>312</v>
      </c>
      <c r="G12" s="4" t="s">
        <v>262</v>
      </c>
      <c r="H12" s="46" t="s">
        <v>363</v>
      </c>
      <c r="I12" s="56" t="s">
        <v>25</v>
      </c>
      <c r="J12" s="35"/>
      <c r="K12" s="33">
        <v>156.88999999999999</v>
      </c>
      <c r="L12" s="19"/>
    </row>
    <row r="13" spans="1:12" ht="24.75" hidden="1" customHeight="1" x14ac:dyDescent="0.15">
      <c r="A13" s="18"/>
      <c r="B13" s="69" t="str">
        <f t="shared" si="0"/>
        <v>01/2026</v>
      </c>
      <c r="C13" s="9">
        <v>46024</v>
      </c>
      <c r="D13" s="8" t="s">
        <v>67</v>
      </c>
      <c r="E13" s="67" t="s">
        <v>310</v>
      </c>
      <c r="F13" s="4" t="s">
        <v>300</v>
      </c>
      <c r="G13" s="4" t="s">
        <v>259</v>
      </c>
      <c r="H13" s="46" t="s">
        <v>363</v>
      </c>
      <c r="I13" s="56" t="s">
        <v>25</v>
      </c>
      <c r="J13" s="34"/>
      <c r="K13" s="32">
        <v>3287.57</v>
      </c>
      <c r="L13" s="19"/>
    </row>
    <row r="14" spans="1:12" ht="24.75" hidden="1" customHeight="1" x14ac:dyDescent="0.15">
      <c r="A14" s="18"/>
      <c r="B14" s="69" t="str">
        <f t="shared" si="0"/>
        <v>01/2026</v>
      </c>
      <c r="C14" s="9">
        <v>46024</v>
      </c>
      <c r="D14" s="47" t="s">
        <v>67</v>
      </c>
      <c r="E14" s="46" t="s">
        <v>310</v>
      </c>
      <c r="F14" s="4" t="s">
        <v>300</v>
      </c>
      <c r="G14" s="4" t="s">
        <v>260</v>
      </c>
      <c r="H14" s="46" t="s">
        <v>363</v>
      </c>
      <c r="I14" s="56" t="s">
        <v>25</v>
      </c>
      <c r="J14" s="34"/>
      <c r="K14" s="32">
        <v>2923.43</v>
      </c>
      <c r="L14" s="19"/>
    </row>
    <row r="15" spans="1:12" ht="24.75" hidden="1" customHeight="1" x14ac:dyDescent="0.15">
      <c r="A15" s="18"/>
      <c r="B15" s="69" t="str">
        <f t="shared" si="0"/>
        <v>01/2026</v>
      </c>
      <c r="C15" s="9">
        <v>46024</v>
      </c>
      <c r="D15" s="47" t="s">
        <v>67</v>
      </c>
      <c r="E15" s="46" t="s">
        <v>310</v>
      </c>
      <c r="F15" s="4" t="s">
        <v>300</v>
      </c>
      <c r="G15" s="4" t="s">
        <v>257</v>
      </c>
      <c r="H15" s="46" t="s">
        <v>363</v>
      </c>
      <c r="I15" s="56" t="s">
        <v>25</v>
      </c>
      <c r="J15" s="34"/>
      <c r="K15" s="32">
        <v>248.7</v>
      </c>
      <c r="L15" s="19"/>
    </row>
    <row r="16" spans="1:12" ht="24.75" hidden="1" customHeight="1" x14ac:dyDescent="0.15">
      <c r="A16" s="18"/>
      <c r="B16" s="69" t="str">
        <f t="shared" si="0"/>
        <v>01/2026</v>
      </c>
      <c r="C16" s="9">
        <v>46024</v>
      </c>
      <c r="D16" s="47" t="s">
        <v>67</v>
      </c>
      <c r="E16" s="46" t="s">
        <v>310</v>
      </c>
      <c r="F16" s="46" t="s">
        <v>300</v>
      </c>
      <c r="G16" s="4" t="s">
        <v>255</v>
      </c>
      <c r="H16" s="46" t="s">
        <v>363</v>
      </c>
      <c r="I16" s="56" t="s">
        <v>25</v>
      </c>
      <c r="J16" s="34"/>
      <c r="K16" s="33">
        <v>3715.12</v>
      </c>
      <c r="L16" s="19"/>
    </row>
    <row r="17" spans="1:12" ht="24.75" hidden="1" customHeight="1" x14ac:dyDescent="0.15">
      <c r="A17" s="18"/>
      <c r="B17" s="69" t="str">
        <f t="shared" si="0"/>
        <v>01/2026</v>
      </c>
      <c r="C17" s="9">
        <v>46024</v>
      </c>
      <c r="D17" s="47" t="s">
        <v>67</v>
      </c>
      <c r="E17" s="46" t="s">
        <v>310</v>
      </c>
      <c r="F17" s="4" t="s">
        <v>300</v>
      </c>
      <c r="G17" s="4" t="s">
        <v>262</v>
      </c>
      <c r="H17" s="46" t="s">
        <v>363</v>
      </c>
      <c r="I17" s="56" t="s">
        <v>25</v>
      </c>
      <c r="J17" s="35"/>
      <c r="K17" s="32">
        <v>1586.85</v>
      </c>
      <c r="L17" s="19"/>
    </row>
    <row r="18" spans="1:12" ht="24.75" hidden="1" customHeight="1" x14ac:dyDescent="0.15">
      <c r="A18" s="18"/>
      <c r="B18" s="69" t="str">
        <f t="shared" si="0"/>
        <v>01/2026</v>
      </c>
      <c r="C18" s="9">
        <v>46027</v>
      </c>
      <c r="D18" s="47" t="s">
        <v>68</v>
      </c>
      <c r="E18" s="46" t="s">
        <v>311</v>
      </c>
      <c r="F18" s="46" t="s">
        <v>312</v>
      </c>
      <c r="G18" s="4" t="s">
        <v>263</v>
      </c>
      <c r="H18" s="46" t="s">
        <v>363</v>
      </c>
      <c r="I18" s="56" t="s">
        <v>25</v>
      </c>
      <c r="J18" s="34"/>
      <c r="K18" s="33">
        <v>981.21</v>
      </c>
      <c r="L18" s="19"/>
    </row>
    <row r="19" spans="1:12" ht="24.75" hidden="1" customHeight="1" x14ac:dyDescent="0.15">
      <c r="A19" s="18"/>
      <c r="B19" s="69" t="str">
        <f t="shared" si="0"/>
        <v>01/2026</v>
      </c>
      <c r="C19" s="9">
        <v>46027</v>
      </c>
      <c r="D19" s="47" t="s">
        <v>67</v>
      </c>
      <c r="E19" s="46" t="s">
        <v>310</v>
      </c>
      <c r="F19" s="46" t="s">
        <v>300</v>
      </c>
      <c r="G19" s="4" t="s">
        <v>221</v>
      </c>
      <c r="H19" s="46" t="s">
        <v>363</v>
      </c>
      <c r="I19" s="56" t="s">
        <v>158</v>
      </c>
      <c r="J19" s="34"/>
      <c r="K19" s="33">
        <v>5859.89</v>
      </c>
      <c r="L19" s="19"/>
    </row>
    <row r="20" spans="1:12" ht="24.75" hidden="1" customHeight="1" x14ac:dyDescent="0.15">
      <c r="A20" s="18"/>
      <c r="B20" s="69" t="str">
        <f t="shared" si="0"/>
        <v>01/2026</v>
      </c>
      <c r="C20" s="9">
        <v>46027</v>
      </c>
      <c r="D20" s="47" t="s">
        <v>67</v>
      </c>
      <c r="E20" s="46" t="s">
        <v>310</v>
      </c>
      <c r="F20" s="46" t="s">
        <v>300</v>
      </c>
      <c r="G20" s="4" t="s">
        <v>263</v>
      </c>
      <c r="H20" s="46" t="s">
        <v>363</v>
      </c>
      <c r="I20" s="56" t="s">
        <v>25</v>
      </c>
      <c r="J20" s="34"/>
      <c r="K20" s="32">
        <v>3312.05</v>
      </c>
      <c r="L20" s="19"/>
    </row>
    <row r="21" spans="1:12" ht="24.75" hidden="1" customHeight="1" x14ac:dyDescent="0.15">
      <c r="A21" s="18"/>
      <c r="B21" s="69" t="str">
        <f t="shared" si="0"/>
        <v>01/2026</v>
      </c>
      <c r="C21" s="9">
        <v>46027</v>
      </c>
      <c r="D21" s="47" t="s">
        <v>98</v>
      </c>
      <c r="E21" s="46" t="s">
        <v>324</v>
      </c>
      <c r="F21" s="46" t="s">
        <v>301</v>
      </c>
      <c r="G21" s="4" t="s">
        <v>222</v>
      </c>
      <c r="H21" s="37" t="s">
        <v>24</v>
      </c>
      <c r="I21" s="56" t="s">
        <v>25</v>
      </c>
      <c r="J21" s="34"/>
      <c r="K21" s="33">
        <v>2.6</v>
      </c>
      <c r="L21" s="19"/>
    </row>
    <row r="22" spans="1:12" ht="24.75" hidden="1" customHeight="1" x14ac:dyDescent="0.15">
      <c r="A22" s="18"/>
      <c r="B22" s="69" t="str">
        <f t="shared" si="0"/>
        <v>01/2026</v>
      </c>
      <c r="C22" s="9">
        <v>46027</v>
      </c>
      <c r="D22" s="47" t="s">
        <v>98</v>
      </c>
      <c r="E22" s="46" t="s">
        <v>324</v>
      </c>
      <c r="F22" s="46" t="s">
        <v>301</v>
      </c>
      <c r="G22" s="4" t="s">
        <v>222</v>
      </c>
      <c r="H22" s="37" t="s">
        <v>24</v>
      </c>
      <c r="I22" s="56" t="s">
        <v>25</v>
      </c>
      <c r="J22" s="34"/>
      <c r="K22" s="32">
        <v>5.2</v>
      </c>
      <c r="L22" s="19"/>
    </row>
    <row r="23" spans="1:12" ht="24.75" hidden="1" customHeight="1" x14ac:dyDescent="0.15">
      <c r="A23" s="18"/>
      <c r="B23" s="69" t="str">
        <f t="shared" si="0"/>
        <v>01/2026</v>
      </c>
      <c r="C23" s="9">
        <v>46027</v>
      </c>
      <c r="D23" s="8" t="s">
        <v>235</v>
      </c>
      <c r="E23" s="46" t="s">
        <v>339</v>
      </c>
      <c r="F23" s="46" t="s">
        <v>148</v>
      </c>
      <c r="G23" s="4" t="s">
        <v>119</v>
      </c>
      <c r="H23" s="46" t="s">
        <v>119</v>
      </c>
      <c r="I23" s="56" t="s">
        <v>25</v>
      </c>
      <c r="J23" s="35"/>
      <c r="K23" s="32">
        <v>6000</v>
      </c>
      <c r="L23" s="19"/>
    </row>
    <row r="24" spans="1:12" ht="24.75" hidden="1" customHeight="1" x14ac:dyDescent="0.15">
      <c r="A24" s="18"/>
      <c r="B24" s="69" t="str">
        <f t="shared" si="0"/>
        <v>01/2026</v>
      </c>
      <c r="C24" s="9">
        <v>46028</v>
      </c>
      <c r="D24" s="47" t="s">
        <v>98</v>
      </c>
      <c r="E24" s="46" t="s">
        <v>324</v>
      </c>
      <c r="F24" s="46" t="s">
        <v>301</v>
      </c>
      <c r="G24" s="4" t="s">
        <v>222</v>
      </c>
      <c r="H24" s="37" t="s">
        <v>24</v>
      </c>
      <c r="I24" s="56" t="s">
        <v>25</v>
      </c>
      <c r="J24" s="34"/>
      <c r="K24" s="33">
        <v>8.3800000000000008</v>
      </c>
      <c r="L24" s="19"/>
    </row>
    <row r="25" spans="1:12" ht="24.75" hidden="1" customHeight="1" x14ac:dyDescent="0.15">
      <c r="A25" s="18"/>
      <c r="B25" s="69" t="str">
        <f t="shared" si="0"/>
        <v>01/2026</v>
      </c>
      <c r="C25" s="9">
        <v>46028</v>
      </c>
      <c r="D25" s="47" t="s">
        <v>78</v>
      </c>
      <c r="E25" s="46" t="s">
        <v>311</v>
      </c>
      <c r="F25" s="46" t="s">
        <v>145</v>
      </c>
      <c r="G25" s="4" t="s">
        <v>79</v>
      </c>
      <c r="H25" s="46" t="s">
        <v>363</v>
      </c>
      <c r="I25" s="56" t="s">
        <v>25</v>
      </c>
      <c r="J25" s="34"/>
      <c r="K25" s="33">
        <v>143.75</v>
      </c>
      <c r="L25" s="19"/>
    </row>
    <row r="26" spans="1:12" ht="24.75" hidden="1" customHeight="1" x14ac:dyDescent="0.15">
      <c r="A26" s="18"/>
      <c r="B26" s="69" t="str">
        <f t="shared" si="0"/>
        <v>01/2026</v>
      </c>
      <c r="C26" s="9">
        <v>46029</v>
      </c>
      <c r="D26" s="8" t="s">
        <v>179</v>
      </c>
      <c r="E26" s="46" t="s">
        <v>317</v>
      </c>
      <c r="F26" s="46" t="s">
        <v>34</v>
      </c>
      <c r="G26" s="4" t="s">
        <v>34</v>
      </c>
      <c r="H26" s="46" t="s">
        <v>24</v>
      </c>
      <c r="I26" s="56" t="s">
        <v>25</v>
      </c>
      <c r="J26" s="35"/>
      <c r="K26" s="33">
        <v>4950</v>
      </c>
      <c r="L26" s="19"/>
    </row>
    <row r="27" spans="1:12" ht="24.75" hidden="1" customHeight="1" x14ac:dyDescent="0.15">
      <c r="A27" s="18"/>
      <c r="B27" s="69" t="str">
        <f t="shared" si="0"/>
        <v>01/2026</v>
      </c>
      <c r="C27" s="9">
        <v>46029</v>
      </c>
      <c r="D27" s="47" t="s">
        <v>110</v>
      </c>
      <c r="E27" s="46" t="s">
        <v>310</v>
      </c>
      <c r="F27" s="46" t="s">
        <v>150</v>
      </c>
      <c r="G27" s="4" t="s">
        <v>264</v>
      </c>
      <c r="H27" s="46" t="s">
        <v>363</v>
      </c>
      <c r="I27" s="56" t="s">
        <v>25</v>
      </c>
      <c r="J27" s="34"/>
      <c r="K27" s="33">
        <v>4470.6400000000003</v>
      </c>
      <c r="L27" s="19"/>
    </row>
    <row r="28" spans="1:12" ht="24.75" hidden="1" customHeight="1" x14ac:dyDescent="0.15">
      <c r="A28" s="18"/>
      <c r="B28" s="69" t="str">
        <f t="shared" si="0"/>
        <v>01/2026</v>
      </c>
      <c r="C28" s="9">
        <v>46029</v>
      </c>
      <c r="D28" s="47" t="s">
        <v>68</v>
      </c>
      <c r="E28" s="46" t="s">
        <v>311</v>
      </c>
      <c r="F28" s="46" t="s">
        <v>312</v>
      </c>
      <c r="G28" s="4" t="s">
        <v>266</v>
      </c>
      <c r="H28" s="46" t="s">
        <v>363</v>
      </c>
      <c r="I28" s="56" t="s">
        <v>25</v>
      </c>
      <c r="J28" s="34"/>
      <c r="K28" s="32">
        <v>2337.36</v>
      </c>
      <c r="L28" s="19"/>
    </row>
    <row r="29" spans="1:12" ht="24.75" hidden="1" customHeight="1" x14ac:dyDescent="0.15">
      <c r="A29" s="18"/>
      <c r="B29" s="69" t="str">
        <f t="shared" si="0"/>
        <v>01/2026</v>
      </c>
      <c r="C29" s="9">
        <v>46029</v>
      </c>
      <c r="D29" s="47" t="s">
        <v>68</v>
      </c>
      <c r="E29" s="46" t="s">
        <v>311</v>
      </c>
      <c r="F29" s="46" t="s">
        <v>312</v>
      </c>
      <c r="G29" s="4" t="s">
        <v>267</v>
      </c>
      <c r="H29" s="46" t="s">
        <v>363</v>
      </c>
      <c r="I29" s="56" t="s">
        <v>25</v>
      </c>
      <c r="J29" s="34"/>
      <c r="K29" s="33">
        <v>3645.37</v>
      </c>
      <c r="L29" s="19"/>
    </row>
    <row r="30" spans="1:12" ht="24.75" hidden="1" customHeight="1" x14ac:dyDescent="0.15">
      <c r="A30" s="18"/>
      <c r="B30" s="69" t="str">
        <f t="shared" si="0"/>
        <v>01/2026</v>
      </c>
      <c r="C30" s="9">
        <v>46029</v>
      </c>
      <c r="D30" s="8" t="s">
        <v>80</v>
      </c>
      <c r="E30" s="46" t="s">
        <v>314</v>
      </c>
      <c r="F30" s="46" t="s">
        <v>331</v>
      </c>
      <c r="G30" s="4" t="s">
        <v>81</v>
      </c>
      <c r="H30" s="46" t="s">
        <v>24</v>
      </c>
      <c r="I30" s="56" t="s">
        <v>25</v>
      </c>
      <c r="J30" s="34"/>
      <c r="K30" s="32">
        <v>3500</v>
      </c>
      <c r="L30" s="19"/>
    </row>
    <row r="31" spans="1:12" ht="24.75" hidden="1" customHeight="1" x14ac:dyDescent="0.15">
      <c r="A31" s="18"/>
      <c r="B31" s="69" t="str">
        <f t="shared" si="0"/>
        <v>01/2026</v>
      </c>
      <c r="C31" s="9">
        <v>46029</v>
      </c>
      <c r="D31" s="47" t="s">
        <v>35</v>
      </c>
      <c r="E31" s="46" t="s">
        <v>317</v>
      </c>
      <c r="F31" s="46" t="s">
        <v>337</v>
      </c>
      <c r="G31" s="4" t="s">
        <v>164</v>
      </c>
      <c r="H31" s="46" t="s">
        <v>24</v>
      </c>
      <c r="I31" s="56" t="s">
        <v>25</v>
      </c>
      <c r="J31" s="34"/>
      <c r="K31" s="33">
        <v>1800</v>
      </c>
      <c r="L31" s="19"/>
    </row>
    <row r="32" spans="1:12" ht="24.75" hidden="1" customHeight="1" x14ac:dyDescent="0.15">
      <c r="A32" s="18"/>
      <c r="B32" s="69" t="str">
        <f t="shared" si="0"/>
        <v>01/2026</v>
      </c>
      <c r="C32" s="9">
        <v>46029</v>
      </c>
      <c r="D32" s="47" t="s">
        <v>219</v>
      </c>
      <c r="E32" s="46" t="s">
        <v>310</v>
      </c>
      <c r="F32" s="46" t="s">
        <v>309</v>
      </c>
      <c r="G32" s="4" t="s">
        <v>220</v>
      </c>
      <c r="H32" s="46" t="s">
        <v>363</v>
      </c>
      <c r="I32" s="56" t="s">
        <v>25</v>
      </c>
      <c r="J32" s="35"/>
      <c r="K32" s="33">
        <v>718.11</v>
      </c>
      <c r="L32" s="19"/>
    </row>
    <row r="33" spans="1:12" ht="24.75" hidden="1" customHeight="1" x14ac:dyDescent="0.15">
      <c r="A33" s="18"/>
      <c r="B33" s="69" t="str">
        <f t="shared" si="0"/>
        <v>01/2026</v>
      </c>
      <c r="C33" s="9">
        <v>46029</v>
      </c>
      <c r="D33" s="8" t="s">
        <v>229</v>
      </c>
      <c r="E33" s="46" t="s">
        <v>310</v>
      </c>
      <c r="F33" s="46" t="s">
        <v>309</v>
      </c>
      <c r="G33" s="4" t="s">
        <v>230</v>
      </c>
      <c r="H33" s="46" t="s">
        <v>363</v>
      </c>
      <c r="I33" s="56" t="s">
        <v>25</v>
      </c>
      <c r="J33" s="34"/>
      <c r="K33" s="33">
        <v>750.23</v>
      </c>
      <c r="L33" s="19"/>
    </row>
    <row r="34" spans="1:12" ht="24.75" hidden="1" customHeight="1" x14ac:dyDescent="0.15">
      <c r="A34" s="18"/>
      <c r="B34" s="69" t="str">
        <f t="shared" si="0"/>
        <v>01/2026</v>
      </c>
      <c r="C34" s="9">
        <v>46029</v>
      </c>
      <c r="D34" s="47" t="s">
        <v>227</v>
      </c>
      <c r="E34" s="46" t="s">
        <v>310</v>
      </c>
      <c r="F34" s="46" t="s">
        <v>309</v>
      </c>
      <c r="G34" s="4" t="s">
        <v>228</v>
      </c>
      <c r="H34" s="46" t="s">
        <v>363</v>
      </c>
      <c r="I34" s="56" t="s">
        <v>25</v>
      </c>
      <c r="J34" s="34"/>
      <c r="K34" s="33">
        <v>692.73</v>
      </c>
      <c r="L34" s="19"/>
    </row>
    <row r="35" spans="1:12" ht="24.75" hidden="1" customHeight="1" x14ac:dyDescent="0.15">
      <c r="A35" s="18"/>
      <c r="B35" s="69" t="str">
        <f t="shared" si="0"/>
        <v>01/2026</v>
      </c>
      <c r="C35" s="9">
        <v>46029</v>
      </c>
      <c r="D35" s="47" t="s">
        <v>225</v>
      </c>
      <c r="E35" s="46" t="s">
        <v>310</v>
      </c>
      <c r="F35" s="46" t="s">
        <v>309</v>
      </c>
      <c r="G35" s="4" t="s">
        <v>226</v>
      </c>
      <c r="H35" s="46" t="s">
        <v>363</v>
      </c>
      <c r="I35" s="56" t="s">
        <v>25</v>
      </c>
      <c r="J35" s="34"/>
      <c r="K35" s="33">
        <v>607.20000000000005</v>
      </c>
      <c r="L35" s="19"/>
    </row>
    <row r="36" spans="1:12" ht="24.75" hidden="1" customHeight="1" x14ac:dyDescent="0.15">
      <c r="A36" s="18"/>
      <c r="B36" s="69" t="str">
        <f t="shared" si="0"/>
        <v>01/2026</v>
      </c>
      <c r="C36" s="9">
        <v>46029</v>
      </c>
      <c r="D36" s="8" t="s">
        <v>112</v>
      </c>
      <c r="E36" s="46" t="s">
        <v>314</v>
      </c>
      <c r="F36" s="46" t="s">
        <v>346</v>
      </c>
      <c r="G36" s="4" t="s">
        <v>188</v>
      </c>
      <c r="H36" s="37" t="s">
        <v>24</v>
      </c>
      <c r="I36" s="56" t="s">
        <v>25</v>
      </c>
      <c r="J36" s="34"/>
      <c r="K36" s="33">
        <v>896.62</v>
      </c>
      <c r="L36" s="19"/>
    </row>
    <row r="37" spans="1:12" ht="24.75" hidden="1" customHeight="1" x14ac:dyDescent="0.15">
      <c r="A37" s="18"/>
      <c r="B37" s="69" t="str">
        <f t="shared" si="0"/>
        <v>01/2026</v>
      </c>
      <c r="C37" s="9">
        <v>46029</v>
      </c>
      <c r="D37" s="47" t="s">
        <v>67</v>
      </c>
      <c r="E37" s="46" t="s">
        <v>310</v>
      </c>
      <c r="F37" s="46" t="s">
        <v>300</v>
      </c>
      <c r="G37" s="4" t="s">
        <v>265</v>
      </c>
      <c r="H37" s="46" t="s">
        <v>363</v>
      </c>
      <c r="I37" s="56" t="s">
        <v>25</v>
      </c>
      <c r="J37" s="34"/>
      <c r="K37" s="33">
        <v>1931.92</v>
      </c>
      <c r="L37" s="19"/>
    </row>
    <row r="38" spans="1:12" ht="24.75" hidden="1" customHeight="1" x14ac:dyDescent="0.15">
      <c r="A38" s="18"/>
      <c r="B38" s="69" t="str">
        <f t="shared" si="0"/>
        <v>01/2026</v>
      </c>
      <c r="C38" s="9">
        <v>46029</v>
      </c>
      <c r="D38" s="47" t="s">
        <v>67</v>
      </c>
      <c r="E38" s="46" t="s">
        <v>310</v>
      </c>
      <c r="F38" s="46" t="s">
        <v>300</v>
      </c>
      <c r="G38" s="4" t="s">
        <v>266</v>
      </c>
      <c r="H38" s="46" t="s">
        <v>363</v>
      </c>
      <c r="I38" s="56" t="s">
        <v>25</v>
      </c>
      <c r="J38" s="34"/>
      <c r="K38" s="33">
        <v>7579.63</v>
      </c>
      <c r="L38" s="19"/>
    </row>
    <row r="39" spans="1:12" ht="24.75" hidden="1" customHeight="1" x14ac:dyDescent="0.15">
      <c r="A39" s="18"/>
      <c r="B39" s="69" t="str">
        <f t="shared" si="0"/>
        <v>01/2026</v>
      </c>
      <c r="C39" s="9">
        <v>46029</v>
      </c>
      <c r="D39" s="47" t="s">
        <v>67</v>
      </c>
      <c r="E39" s="46" t="s">
        <v>310</v>
      </c>
      <c r="F39" s="46" t="s">
        <v>300</v>
      </c>
      <c r="G39" s="4" t="s">
        <v>267</v>
      </c>
      <c r="H39" s="46" t="s">
        <v>363</v>
      </c>
      <c r="I39" s="56" t="s">
        <v>25</v>
      </c>
      <c r="J39" s="34"/>
      <c r="K39" s="33">
        <v>10077.379999999999</v>
      </c>
      <c r="L39" s="19"/>
    </row>
    <row r="40" spans="1:12" ht="24.75" hidden="1" customHeight="1" x14ac:dyDescent="0.15">
      <c r="A40" s="18"/>
      <c r="B40" s="69" t="str">
        <f t="shared" si="0"/>
        <v>01/2026</v>
      </c>
      <c r="C40" s="9">
        <v>46029</v>
      </c>
      <c r="D40" s="47" t="s">
        <v>33</v>
      </c>
      <c r="E40" s="46" t="s">
        <v>310</v>
      </c>
      <c r="F40" s="46" t="s">
        <v>308</v>
      </c>
      <c r="G40" s="4" t="s">
        <v>348</v>
      </c>
      <c r="H40" s="46" t="s">
        <v>363</v>
      </c>
      <c r="I40" s="56" t="s">
        <v>25</v>
      </c>
      <c r="J40" s="34"/>
      <c r="K40" s="33">
        <v>416446.59</v>
      </c>
      <c r="L40" s="19"/>
    </row>
    <row r="41" spans="1:12" ht="24.75" hidden="1" customHeight="1" x14ac:dyDescent="0.15">
      <c r="A41" s="18"/>
      <c r="B41" s="69" t="str">
        <f t="shared" si="0"/>
        <v>01/2026</v>
      </c>
      <c r="C41" s="9">
        <v>46029</v>
      </c>
      <c r="D41" s="47" t="s">
        <v>33</v>
      </c>
      <c r="E41" s="46" t="s">
        <v>310</v>
      </c>
      <c r="F41" s="46" t="s">
        <v>308</v>
      </c>
      <c r="G41" s="4" t="s">
        <v>348</v>
      </c>
      <c r="H41" s="46" t="s">
        <v>362</v>
      </c>
      <c r="I41" s="56" t="s">
        <v>25</v>
      </c>
      <c r="J41" s="34"/>
      <c r="K41" s="33">
        <v>123880.6</v>
      </c>
      <c r="L41" s="19"/>
    </row>
    <row r="42" spans="1:12" ht="24.75" hidden="1" customHeight="1" x14ac:dyDescent="0.15">
      <c r="A42" s="18"/>
      <c r="B42" s="69" t="str">
        <f t="shared" si="0"/>
        <v>01/2026</v>
      </c>
      <c r="C42" s="9">
        <v>46029</v>
      </c>
      <c r="D42" s="47" t="s">
        <v>98</v>
      </c>
      <c r="E42" s="46" t="s">
        <v>324</v>
      </c>
      <c r="F42" s="4" t="s">
        <v>301</v>
      </c>
      <c r="G42" s="4" t="s">
        <v>222</v>
      </c>
      <c r="H42" s="37" t="s">
        <v>24</v>
      </c>
      <c r="I42" s="56" t="s">
        <v>25</v>
      </c>
      <c r="J42" s="34"/>
      <c r="K42" s="33">
        <v>0.78</v>
      </c>
      <c r="L42" s="19"/>
    </row>
    <row r="43" spans="1:12" ht="24.75" hidden="1" customHeight="1" x14ac:dyDescent="0.15">
      <c r="A43" s="18"/>
      <c r="B43" s="69" t="str">
        <f t="shared" si="0"/>
        <v>01/2026</v>
      </c>
      <c r="C43" s="9">
        <v>46029</v>
      </c>
      <c r="D43" s="8" t="s">
        <v>235</v>
      </c>
      <c r="E43" s="46" t="s">
        <v>339</v>
      </c>
      <c r="F43" s="4" t="s">
        <v>148</v>
      </c>
      <c r="G43" s="4" t="s">
        <v>119</v>
      </c>
      <c r="H43" s="46" t="s">
        <v>119</v>
      </c>
      <c r="I43" s="56" t="s">
        <v>25</v>
      </c>
      <c r="J43" s="34">
        <v>800000</v>
      </c>
      <c r="K43" s="33"/>
      <c r="L43" s="19"/>
    </row>
    <row r="44" spans="1:12" ht="24.75" hidden="1" customHeight="1" x14ac:dyDescent="0.15">
      <c r="A44" s="18"/>
      <c r="B44" s="69" t="str">
        <f t="shared" si="0"/>
        <v>01/2026</v>
      </c>
      <c r="C44" s="9">
        <v>46029</v>
      </c>
      <c r="D44" s="47" t="s">
        <v>32</v>
      </c>
      <c r="E44" s="46" t="s">
        <v>311</v>
      </c>
      <c r="F44" s="4" t="s">
        <v>146</v>
      </c>
      <c r="G44" s="4" t="s">
        <v>38</v>
      </c>
      <c r="H44" s="46" t="s">
        <v>363</v>
      </c>
      <c r="I44" s="56" t="s">
        <v>25</v>
      </c>
      <c r="J44" s="34"/>
      <c r="K44" s="32">
        <v>91063.38</v>
      </c>
      <c r="L44" s="19"/>
    </row>
    <row r="45" spans="1:12" ht="24.75" hidden="1" customHeight="1" x14ac:dyDescent="0.15">
      <c r="A45" s="18"/>
      <c r="B45" s="69" t="str">
        <f t="shared" si="0"/>
        <v>01/2026</v>
      </c>
      <c r="C45" s="9">
        <v>46029</v>
      </c>
      <c r="D45" s="47" t="s">
        <v>32</v>
      </c>
      <c r="E45" s="46" t="s">
        <v>311</v>
      </c>
      <c r="F45" s="4" t="s">
        <v>146</v>
      </c>
      <c r="G45" s="4" t="s">
        <v>38</v>
      </c>
      <c r="H45" s="46" t="s">
        <v>362</v>
      </c>
      <c r="I45" s="56" t="s">
        <v>25</v>
      </c>
      <c r="J45" s="34"/>
      <c r="K45" s="33">
        <v>26558.639999999999</v>
      </c>
      <c r="L45" s="19"/>
    </row>
    <row r="46" spans="1:12" ht="24.75" hidden="1" customHeight="1" x14ac:dyDescent="0.15">
      <c r="A46" s="18"/>
      <c r="B46" s="69" t="str">
        <f t="shared" si="0"/>
        <v>01/2026</v>
      </c>
      <c r="C46" s="9">
        <v>46030</v>
      </c>
      <c r="D46" s="8" t="s">
        <v>104</v>
      </c>
      <c r="E46" s="46" t="s">
        <v>313</v>
      </c>
      <c r="F46" s="46" t="s">
        <v>327</v>
      </c>
      <c r="G46" s="4" t="s">
        <v>114</v>
      </c>
      <c r="H46" s="37" t="s">
        <v>24</v>
      </c>
      <c r="I46" s="56" t="s">
        <v>25</v>
      </c>
      <c r="J46" s="34"/>
      <c r="K46" s="32">
        <v>49023.75</v>
      </c>
      <c r="L46" s="19"/>
    </row>
    <row r="47" spans="1:12" ht="24.75" hidden="1" customHeight="1" x14ac:dyDescent="0.15">
      <c r="A47" s="18"/>
      <c r="B47" s="69" t="str">
        <f t="shared" si="0"/>
        <v>01/2026</v>
      </c>
      <c r="C47" s="9">
        <v>46030</v>
      </c>
      <c r="D47" s="47" t="s">
        <v>98</v>
      </c>
      <c r="E47" s="46" t="s">
        <v>324</v>
      </c>
      <c r="F47" s="46" t="s">
        <v>301</v>
      </c>
      <c r="G47" s="4" t="s">
        <v>222</v>
      </c>
      <c r="H47" s="37" t="s">
        <v>24</v>
      </c>
      <c r="I47" s="56" t="s">
        <v>25</v>
      </c>
      <c r="J47" s="34"/>
      <c r="K47" s="32">
        <v>13.5</v>
      </c>
      <c r="L47" s="19"/>
    </row>
    <row r="48" spans="1:12" ht="24.75" hidden="1" customHeight="1" x14ac:dyDescent="0.15">
      <c r="A48" s="18"/>
      <c r="B48" s="69" t="str">
        <f t="shared" si="0"/>
        <v>01/2026</v>
      </c>
      <c r="C48" s="9">
        <v>46030</v>
      </c>
      <c r="D48" s="47" t="s">
        <v>98</v>
      </c>
      <c r="E48" s="46" t="s">
        <v>324</v>
      </c>
      <c r="F48" s="46" t="s">
        <v>301</v>
      </c>
      <c r="G48" s="4" t="s">
        <v>222</v>
      </c>
      <c r="H48" s="37" t="s">
        <v>24</v>
      </c>
      <c r="I48" s="56" t="s">
        <v>25</v>
      </c>
      <c r="J48" s="34"/>
      <c r="K48" s="33">
        <v>49.42</v>
      </c>
      <c r="L48" s="19"/>
    </row>
    <row r="49" spans="1:12" ht="24.75" hidden="1" customHeight="1" x14ac:dyDescent="0.15">
      <c r="A49" s="18"/>
      <c r="B49" s="69" t="str">
        <f t="shared" si="0"/>
        <v>01/2026</v>
      </c>
      <c r="C49" s="9">
        <v>46030</v>
      </c>
      <c r="D49" s="47" t="s">
        <v>98</v>
      </c>
      <c r="E49" s="46" t="s">
        <v>324</v>
      </c>
      <c r="F49" s="46" t="s">
        <v>301</v>
      </c>
      <c r="G49" s="4" t="s">
        <v>222</v>
      </c>
      <c r="H49" s="37" t="s">
        <v>24</v>
      </c>
      <c r="I49" s="56" t="s">
        <v>25</v>
      </c>
      <c r="J49" s="34"/>
      <c r="K49" s="32">
        <v>32.5</v>
      </c>
      <c r="L49" s="19"/>
    </row>
    <row r="50" spans="1:12" ht="24.75" hidden="1" customHeight="1" x14ac:dyDescent="0.15">
      <c r="A50" s="18"/>
      <c r="B50" s="69" t="str">
        <f t="shared" si="0"/>
        <v>01/2026</v>
      </c>
      <c r="C50" s="9">
        <v>46030</v>
      </c>
      <c r="D50" s="47" t="s">
        <v>98</v>
      </c>
      <c r="E50" s="46" t="s">
        <v>324</v>
      </c>
      <c r="F50" s="46" t="s">
        <v>301</v>
      </c>
      <c r="G50" s="4" t="s">
        <v>222</v>
      </c>
      <c r="H50" s="37" t="s">
        <v>24</v>
      </c>
      <c r="I50" s="56" t="s">
        <v>25</v>
      </c>
      <c r="J50" s="35"/>
      <c r="K50" s="33">
        <v>227.5</v>
      </c>
      <c r="L50" s="19"/>
    </row>
    <row r="51" spans="1:12" ht="24.75" hidden="1" customHeight="1" x14ac:dyDescent="0.15">
      <c r="A51" s="18"/>
      <c r="B51" s="69" t="str">
        <f t="shared" si="0"/>
        <v>01/2026</v>
      </c>
      <c r="C51" s="9">
        <v>46030</v>
      </c>
      <c r="D51" s="8" t="s">
        <v>32</v>
      </c>
      <c r="E51" s="46" t="s">
        <v>311</v>
      </c>
      <c r="F51" s="46" t="s">
        <v>146</v>
      </c>
      <c r="G51" s="4" t="s">
        <v>38</v>
      </c>
      <c r="H51" s="46" t="s">
        <v>363</v>
      </c>
      <c r="I51" s="56" t="s">
        <v>25</v>
      </c>
      <c r="J51" s="34"/>
      <c r="K51" s="33">
        <v>0.02</v>
      </c>
      <c r="L51" s="19"/>
    </row>
    <row r="52" spans="1:12" ht="24.75" hidden="1" customHeight="1" x14ac:dyDescent="0.15">
      <c r="A52" s="18"/>
      <c r="B52" s="69" t="str">
        <f t="shared" si="0"/>
        <v>01/2026</v>
      </c>
      <c r="C52" s="9">
        <v>46031</v>
      </c>
      <c r="D52" s="47" t="s">
        <v>256</v>
      </c>
      <c r="E52" s="46" t="s">
        <v>310</v>
      </c>
      <c r="F52" s="46" t="s">
        <v>99</v>
      </c>
      <c r="G52" s="4" t="s">
        <v>99</v>
      </c>
      <c r="H52" s="46" t="s">
        <v>363</v>
      </c>
      <c r="I52" s="56" t="s">
        <v>25</v>
      </c>
      <c r="J52" s="34"/>
      <c r="K52" s="32">
        <v>500</v>
      </c>
      <c r="L52" s="19"/>
    </row>
    <row r="53" spans="1:12" ht="24.75" hidden="1" customHeight="1" x14ac:dyDescent="0.15">
      <c r="A53" s="18"/>
      <c r="B53" s="69" t="str">
        <f t="shared" si="0"/>
        <v>01/2026</v>
      </c>
      <c r="C53" s="9">
        <v>46031</v>
      </c>
      <c r="D53" s="47" t="s">
        <v>60</v>
      </c>
      <c r="E53" s="46" t="s">
        <v>317</v>
      </c>
      <c r="F53" s="46" t="s">
        <v>127</v>
      </c>
      <c r="G53" s="4" t="s">
        <v>62</v>
      </c>
      <c r="H53" s="37" t="s">
        <v>24</v>
      </c>
      <c r="I53" s="56" t="s">
        <v>25</v>
      </c>
      <c r="J53" s="34"/>
      <c r="K53" s="33">
        <v>4900</v>
      </c>
      <c r="L53" s="19"/>
    </row>
    <row r="54" spans="1:12" ht="24.75" hidden="1" customHeight="1" x14ac:dyDescent="0.15">
      <c r="A54" s="18"/>
      <c r="B54" s="69" t="str">
        <f t="shared" si="0"/>
        <v>01/2026</v>
      </c>
      <c r="C54" s="9">
        <v>46031</v>
      </c>
      <c r="D54" s="47" t="s">
        <v>270</v>
      </c>
      <c r="E54" s="46" t="s">
        <v>313</v>
      </c>
      <c r="F54" s="46" t="s">
        <v>335</v>
      </c>
      <c r="G54" s="4" t="s">
        <v>92</v>
      </c>
      <c r="H54" s="37" t="s">
        <v>24</v>
      </c>
      <c r="I54" s="56" t="s">
        <v>25</v>
      </c>
      <c r="J54" s="34"/>
      <c r="K54" s="32">
        <v>180</v>
      </c>
      <c r="L54" s="19"/>
    </row>
    <row r="55" spans="1:12" ht="24.75" hidden="1" customHeight="1" x14ac:dyDescent="0.15">
      <c r="A55" s="18"/>
      <c r="B55" s="69" t="str">
        <f t="shared" si="0"/>
        <v>01/2026</v>
      </c>
      <c r="C55" s="9">
        <v>46031</v>
      </c>
      <c r="D55" s="47" t="s">
        <v>236</v>
      </c>
      <c r="E55" s="46" t="s">
        <v>313</v>
      </c>
      <c r="F55" s="46" t="s">
        <v>350</v>
      </c>
      <c r="G55" s="4" t="s">
        <v>130</v>
      </c>
      <c r="H55" s="46" t="s">
        <v>362</v>
      </c>
      <c r="I55" s="56" t="s">
        <v>25</v>
      </c>
      <c r="J55" s="34"/>
      <c r="K55" s="33">
        <v>6000</v>
      </c>
      <c r="L55" s="19"/>
    </row>
    <row r="56" spans="1:12" ht="24.75" hidden="1" customHeight="1" x14ac:dyDescent="0.15">
      <c r="A56" s="18"/>
      <c r="B56" s="69" t="str">
        <f t="shared" si="0"/>
        <v>01/2026</v>
      </c>
      <c r="C56" s="9">
        <v>46031</v>
      </c>
      <c r="D56" s="8" t="s">
        <v>59</v>
      </c>
      <c r="E56" s="46" t="s">
        <v>313</v>
      </c>
      <c r="F56" s="46" t="s">
        <v>111</v>
      </c>
      <c r="G56" s="4" t="s">
        <v>29</v>
      </c>
      <c r="H56" s="46" t="s">
        <v>362</v>
      </c>
      <c r="I56" s="56" t="s">
        <v>25</v>
      </c>
      <c r="J56" s="34"/>
      <c r="K56" s="32">
        <v>2342.65</v>
      </c>
      <c r="L56" s="19"/>
    </row>
    <row r="57" spans="1:12" ht="24.75" hidden="1" customHeight="1" x14ac:dyDescent="0.15">
      <c r="A57" s="18"/>
      <c r="B57" s="69" t="str">
        <f t="shared" si="0"/>
        <v>01/2026</v>
      </c>
      <c r="C57" s="9">
        <v>46031</v>
      </c>
      <c r="D57" s="47" t="s">
        <v>88</v>
      </c>
      <c r="E57" s="46" t="s">
        <v>313</v>
      </c>
      <c r="F57" s="46" t="s">
        <v>111</v>
      </c>
      <c r="G57" s="4" t="s">
        <v>111</v>
      </c>
      <c r="H57" s="46" t="s">
        <v>363</v>
      </c>
      <c r="I57" s="56" t="s">
        <v>25</v>
      </c>
      <c r="J57" s="35"/>
      <c r="K57" s="33">
        <v>300</v>
      </c>
      <c r="L57" s="19"/>
    </row>
    <row r="58" spans="1:12" ht="24.75" hidden="1" customHeight="1" x14ac:dyDescent="0.15">
      <c r="A58" s="18"/>
      <c r="B58" s="69" t="str">
        <f t="shared" si="0"/>
        <v>01/2026</v>
      </c>
      <c r="C58" s="9">
        <v>46031</v>
      </c>
      <c r="D58" s="47" t="s">
        <v>271</v>
      </c>
      <c r="E58" s="46" t="s">
        <v>317</v>
      </c>
      <c r="F58" s="46" t="s">
        <v>334</v>
      </c>
      <c r="G58" s="4" t="s">
        <v>175</v>
      </c>
      <c r="H58" s="37" t="s">
        <v>24</v>
      </c>
      <c r="I58" s="56" t="s">
        <v>25</v>
      </c>
      <c r="J58" s="34"/>
      <c r="K58" s="32">
        <v>550</v>
      </c>
      <c r="L58" s="19"/>
    </row>
    <row r="59" spans="1:12" ht="24.75" hidden="1" customHeight="1" x14ac:dyDescent="0.15">
      <c r="A59" s="18"/>
      <c r="B59" s="69" t="str">
        <f t="shared" si="0"/>
        <v>01/2026</v>
      </c>
      <c r="C59" s="9">
        <v>46031</v>
      </c>
      <c r="D59" s="47" t="s">
        <v>269</v>
      </c>
      <c r="E59" s="46" t="s">
        <v>313</v>
      </c>
      <c r="F59" s="46" t="s">
        <v>30</v>
      </c>
      <c r="G59" s="4" t="s">
        <v>30</v>
      </c>
      <c r="H59" s="37" t="s">
        <v>24</v>
      </c>
      <c r="I59" s="56" t="s">
        <v>25</v>
      </c>
      <c r="J59" s="34"/>
      <c r="K59" s="32">
        <v>2018.02</v>
      </c>
      <c r="L59" s="19"/>
    </row>
    <row r="60" spans="1:12" ht="24.75" hidden="1" customHeight="1" x14ac:dyDescent="0.15">
      <c r="A60" s="18"/>
      <c r="B60" s="69" t="str">
        <f t="shared" si="0"/>
        <v>01/2026</v>
      </c>
      <c r="C60" s="9">
        <v>46031</v>
      </c>
      <c r="D60" s="47" t="s">
        <v>65</v>
      </c>
      <c r="E60" s="46" t="s">
        <v>313</v>
      </c>
      <c r="F60" s="46" t="s">
        <v>66</v>
      </c>
      <c r="G60" s="4" t="s">
        <v>66</v>
      </c>
      <c r="H60" s="37" t="s">
        <v>24</v>
      </c>
      <c r="I60" s="56" t="s">
        <v>25</v>
      </c>
      <c r="J60" s="34"/>
      <c r="K60" s="33">
        <v>247.04</v>
      </c>
      <c r="L60" s="19"/>
    </row>
    <row r="61" spans="1:12" ht="24.75" hidden="1" customHeight="1" x14ac:dyDescent="0.15">
      <c r="A61" s="18"/>
      <c r="B61" s="69" t="str">
        <f t="shared" si="0"/>
        <v>01/2026</v>
      </c>
      <c r="C61" s="9">
        <v>46031</v>
      </c>
      <c r="D61" s="47" t="s">
        <v>112</v>
      </c>
      <c r="E61" s="46" t="s">
        <v>314</v>
      </c>
      <c r="F61" s="46" t="s">
        <v>346</v>
      </c>
      <c r="G61" s="4" t="s">
        <v>246</v>
      </c>
      <c r="H61" s="37" t="s">
        <v>24</v>
      </c>
      <c r="I61" s="56" t="s">
        <v>25</v>
      </c>
      <c r="J61" s="35"/>
      <c r="K61" s="33">
        <v>1500</v>
      </c>
      <c r="L61" s="19"/>
    </row>
    <row r="62" spans="1:12" ht="24.75" hidden="1" customHeight="1" x14ac:dyDescent="0.15">
      <c r="A62" s="18"/>
      <c r="B62" s="69" t="str">
        <f t="shared" si="0"/>
        <v>01/2026</v>
      </c>
      <c r="C62" s="9">
        <v>46031</v>
      </c>
      <c r="D62" s="47" t="s">
        <v>112</v>
      </c>
      <c r="E62" s="46" t="s">
        <v>314</v>
      </c>
      <c r="F62" s="46" t="s">
        <v>346</v>
      </c>
      <c r="G62" s="4" t="s">
        <v>247</v>
      </c>
      <c r="H62" s="37" t="s">
        <v>24</v>
      </c>
      <c r="I62" s="56" t="s">
        <v>25</v>
      </c>
      <c r="J62" s="34"/>
      <c r="K62" s="32">
        <v>1500</v>
      </c>
      <c r="L62" s="19"/>
    </row>
    <row r="63" spans="1:12" ht="24.75" hidden="1" customHeight="1" x14ac:dyDescent="0.15">
      <c r="A63" s="18"/>
      <c r="B63" s="69" t="str">
        <f t="shared" si="0"/>
        <v>01/2026</v>
      </c>
      <c r="C63" s="9">
        <v>46031</v>
      </c>
      <c r="D63" s="47" t="s">
        <v>53</v>
      </c>
      <c r="E63" s="46" t="s">
        <v>339</v>
      </c>
      <c r="F63" s="46" t="s">
        <v>342</v>
      </c>
      <c r="G63" s="4" t="s">
        <v>56</v>
      </c>
      <c r="H63" s="37" t="s">
        <v>365</v>
      </c>
      <c r="I63" s="56" t="s">
        <v>25</v>
      </c>
      <c r="J63" s="34"/>
      <c r="K63" s="33">
        <v>200</v>
      </c>
      <c r="L63" s="19"/>
    </row>
    <row r="64" spans="1:12" ht="24.75" hidden="1" customHeight="1" x14ac:dyDescent="0.15">
      <c r="A64" s="18"/>
      <c r="B64" s="69" t="str">
        <f t="shared" si="0"/>
        <v>01/2026</v>
      </c>
      <c r="C64" s="9">
        <v>46031</v>
      </c>
      <c r="D64" s="47" t="s">
        <v>70</v>
      </c>
      <c r="E64" s="46" t="s">
        <v>339</v>
      </c>
      <c r="F64" s="46" t="s">
        <v>342</v>
      </c>
      <c r="G64" s="4" t="s">
        <v>72</v>
      </c>
      <c r="H64" s="37" t="s">
        <v>365</v>
      </c>
      <c r="I64" s="56" t="s">
        <v>25</v>
      </c>
      <c r="J64" s="34"/>
      <c r="K64" s="33">
        <v>139.99</v>
      </c>
      <c r="L64" s="19"/>
    </row>
    <row r="65" spans="1:12" ht="24.75" hidden="1" customHeight="1" x14ac:dyDescent="0.15">
      <c r="A65" s="18"/>
      <c r="B65" s="69" t="str">
        <f t="shared" si="0"/>
        <v>01/2026</v>
      </c>
      <c r="C65" s="9">
        <v>46031</v>
      </c>
      <c r="D65" s="47" t="s">
        <v>58</v>
      </c>
      <c r="E65" s="46" t="s">
        <v>339</v>
      </c>
      <c r="F65" s="46" t="s">
        <v>342</v>
      </c>
      <c r="G65" s="4" t="s">
        <v>209</v>
      </c>
      <c r="H65" s="37" t="s">
        <v>365</v>
      </c>
      <c r="I65" s="56" t="s">
        <v>25</v>
      </c>
      <c r="J65" s="34"/>
      <c r="K65" s="33">
        <v>443.46</v>
      </c>
      <c r="L65" s="19"/>
    </row>
    <row r="66" spans="1:12" ht="24.75" hidden="1" customHeight="1" x14ac:dyDescent="0.15">
      <c r="A66" s="18"/>
      <c r="B66" s="69" t="str">
        <f t="shared" si="0"/>
        <v>01/2026</v>
      </c>
      <c r="C66" s="9">
        <v>46031</v>
      </c>
      <c r="D66" s="47" t="s">
        <v>83</v>
      </c>
      <c r="E66" s="46" t="s">
        <v>313</v>
      </c>
      <c r="F66" s="46" t="s">
        <v>315</v>
      </c>
      <c r="G66" s="4" t="s">
        <v>252</v>
      </c>
      <c r="H66" s="37" t="s">
        <v>24</v>
      </c>
      <c r="I66" s="56" t="s">
        <v>25</v>
      </c>
      <c r="J66" s="34"/>
      <c r="K66" s="33">
        <v>6542.29</v>
      </c>
      <c r="L66" s="19"/>
    </row>
    <row r="67" spans="1:12" ht="24.75" hidden="1" customHeight="1" x14ac:dyDescent="0.15">
      <c r="A67" s="18"/>
      <c r="B67" s="69" t="str">
        <f t="shared" si="0"/>
        <v>01/2026</v>
      </c>
      <c r="C67" s="9">
        <v>46031</v>
      </c>
      <c r="D67" s="47" t="s">
        <v>83</v>
      </c>
      <c r="E67" s="46" t="s">
        <v>313</v>
      </c>
      <c r="F67" s="46" t="s">
        <v>315</v>
      </c>
      <c r="G67" s="4" t="s">
        <v>253</v>
      </c>
      <c r="H67" s="46" t="s">
        <v>24</v>
      </c>
      <c r="I67" s="56" t="s">
        <v>25</v>
      </c>
      <c r="J67" s="34"/>
      <c r="K67" s="33">
        <v>1631.59</v>
      </c>
      <c r="L67" s="19"/>
    </row>
    <row r="68" spans="1:12" ht="24.75" hidden="1" customHeight="1" x14ac:dyDescent="0.15">
      <c r="A68" s="18"/>
      <c r="B68" s="69" t="str">
        <f t="shared" si="0"/>
        <v>01/2026</v>
      </c>
      <c r="C68" s="9">
        <v>46031</v>
      </c>
      <c r="D68" s="47" t="s">
        <v>98</v>
      </c>
      <c r="E68" s="46" t="s">
        <v>324</v>
      </c>
      <c r="F68" s="46" t="s">
        <v>301</v>
      </c>
      <c r="G68" s="4" t="s">
        <v>222</v>
      </c>
      <c r="H68" s="37" t="s">
        <v>24</v>
      </c>
      <c r="I68" s="56" t="s">
        <v>25</v>
      </c>
      <c r="J68" s="34"/>
      <c r="K68" s="32">
        <v>129.9</v>
      </c>
      <c r="L68" s="19"/>
    </row>
    <row r="69" spans="1:12" ht="24.75" hidden="1" customHeight="1" x14ac:dyDescent="0.15">
      <c r="A69" s="18"/>
      <c r="B69" s="69" t="str">
        <f t="shared" ref="B69:B132" si="1">TEXT(C69,"mm/aaaa")</f>
        <v>01/2026</v>
      </c>
      <c r="C69" s="9">
        <v>46031</v>
      </c>
      <c r="D69" s="47" t="s">
        <v>98</v>
      </c>
      <c r="E69" s="46" t="s">
        <v>324</v>
      </c>
      <c r="F69" s="46" t="s">
        <v>301</v>
      </c>
      <c r="G69" s="4" t="s">
        <v>222</v>
      </c>
      <c r="H69" s="37" t="s">
        <v>24</v>
      </c>
      <c r="I69" s="56" t="s">
        <v>25</v>
      </c>
      <c r="J69" s="34"/>
      <c r="K69" s="32">
        <v>3.85</v>
      </c>
      <c r="L69" s="19"/>
    </row>
    <row r="70" spans="1:12" ht="24.75" hidden="1" customHeight="1" x14ac:dyDescent="0.15">
      <c r="A70" s="18"/>
      <c r="B70" s="69" t="str">
        <f t="shared" si="1"/>
        <v>01/2026</v>
      </c>
      <c r="C70" s="9">
        <v>46031</v>
      </c>
      <c r="D70" s="47" t="s">
        <v>78</v>
      </c>
      <c r="E70" s="46" t="s">
        <v>311</v>
      </c>
      <c r="F70" s="46" t="s">
        <v>145</v>
      </c>
      <c r="G70" s="4" t="s">
        <v>79</v>
      </c>
      <c r="H70" s="46" t="s">
        <v>363</v>
      </c>
      <c r="I70" s="56" t="s">
        <v>25</v>
      </c>
      <c r="J70" s="35"/>
      <c r="K70" s="32">
        <v>470</v>
      </c>
      <c r="L70" s="19"/>
    </row>
    <row r="71" spans="1:12" ht="24.75" hidden="1" customHeight="1" x14ac:dyDescent="0.15">
      <c r="A71" s="18"/>
      <c r="B71" s="69" t="str">
        <f t="shared" si="1"/>
        <v>01/2026</v>
      </c>
      <c r="C71" s="9">
        <v>46034</v>
      </c>
      <c r="D71" s="47" t="s">
        <v>57</v>
      </c>
      <c r="E71" s="46" t="s">
        <v>324</v>
      </c>
      <c r="F71" s="46" t="s">
        <v>325</v>
      </c>
      <c r="G71" s="4" t="s">
        <v>196</v>
      </c>
      <c r="H71" s="46" t="s">
        <v>24</v>
      </c>
      <c r="I71" s="56" t="s">
        <v>25</v>
      </c>
      <c r="J71" s="34"/>
      <c r="K71" s="32">
        <v>2951.86</v>
      </c>
      <c r="L71" s="19"/>
    </row>
    <row r="72" spans="1:12" ht="24.75" hidden="1" customHeight="1" x14ac:dyDescent="0.15">
      <c r="A72" s="18"/>
      <c r="B72" s="69" t="str">
        <f t="shared" si="1"/>
        <v>01/2026</v>
      </c>
      <c r="C72" s="9">
        <v>46034</v>
      </c>
      <c r="D72" s="47" t="s">
        <v>68</v>
      </c>
      <c r="E72" s="46" t="s">
        <v>310</v>
      </c>
      <c r="F72" s="46" t="s">
        <v>300</v>
      </c>
      <c r="G72" s="4" t="s">
        <v>272</v>
      </c>
      <c r="H72" s="46" t="s">
        <v>363</v>
      </c>
      <c r="I72" s="56" t="s">
        <v>25</v>
      </c>
      <c r="J72" s="34"/>
      <c r="K72" s="33">
        <v>1342.41</v>
      </c>
      <c r="L72" s="19"/>
    </row>
    <row r="73" spans="1:12" ht="24.75" hidden="1" customHeight="1" x14ac:dyDescent="0.15">
      <c r="A73" s="18"/>
      <c r="B73" s="69" t="str">
        <f t="shared" si="1"/>
        <v>01/2026</v>
      </c>
      <c r="C73" s="9">
        <v>46034</v>
      </c>
      <c r="D73" s="47" t="s">
        <v>67</v>
      </c>
      <c r="E73" s="46" t="s">
        <v>310</v>
      </c>
      <c r="F73" s="46" t="s">
        <v>300</v>
      </c>
      <c r="G73" s="4" t="s">
        <v>273</v>
      </c>
      <c r="H73" s="46" t="s">
        <v>363</v>
      </c>
      <c r="I73" s="56" t="s">
        <v>25</v>
      </c>
      <c r="J73" s="34"/>
      <c r="K73" s="33">
        <v>1527.14</v>
      </c>
      <c r="L73" s="19"/>
    </row>
    <row r="74" spans="1:12" ht="24.75" hidden="1" customHeight="1" x14ac:dyDescent="0.15">
      <c r="A74" s="18"/>
      <c r="B74" s="69" t="str">
        <f t="shared" si="1"/>
        <v>01/2026</v>
      </c>
      <c r="C74" s="9">
        <v>46034</v>
      </c>
      <c r="D74" s="8" t="s">
        <v>254</v>
      </c>
      <c r="E74" s="46" t="s">
        <v>339</v>
      </c>
      <c r="F74" s="46" t="s">
        <v>342</v>
      </c>
      <c r="G74" s="4" t="s">
        <v>268</v>
      </c>
      <c r="H74" s="37" t="s">
        <v>365</v>
      </c>
      <c r="I74" s="56" t="s">
        <v>25</v>
      </c>
      <c r="J74" s="34"/>
      <c r="K74" s="33">
        <v>16666</v>
      </c>
      <c r="L74" s="19"/>
    </row>
    <row r="75" spans="1:12" ht="24.75" hidden="1" customHeight="1" x14ac:dyDescent="0.15">
      <c r="A75" s="18"/>
      <c r="B75" s="69" t="str">
        <f t="shared" si="1"/>
        <v>01/2026</v>
      </c>
      <c r="C75" s="9">
        <v>46034</v>
      </c>
      <c r="D75" s="47" t="s">
        <v>74</v>
      </c>
      <c r="E75" s="46" t="s">
        <v>339</v>
      </c>
      <c r="F75" s="46" t="s">
        <v>342</v>
      </c>
      <c r="G75" s="4" t="s">
        <v>77</v>
      </c>
      <c r="H75" s="37" t="s">
        <v>365</v>
      </c>
      <c r="I75" s="56" t="s">
        <v>25</v>
      </c>
      <c r="J75" s="35"/>
      <c r="K75" s="33">
        <v>5802.31</v>
      </c>
      <c r="L75" s="19"/>
    </row>
    <row r="76" spans="1:12" ht="24.75" hidden="1" customHeight="1" x14ac:dyDescent="0.15">
      <c r="A76" s="18"/>
      <c r="B76" s="69" t="str">
        <f t="shared" si="1"/>
        <v>01/2026</v>
      </c>
      <c r="C76" s="9">
        <v>46034</v>
      </c>
      <c r="D76" s="47" t="s">
        <v>82</v>
      </c>
      <c r="E76" s="46" t="s">
        <v>313</v>
      </c>
      <c r="F76" s="46" t="s">
        <v>315</v>
      </c>
      <c r="G76" s="4" t="s">
        <v>76</v>
      </c>
      <c r="H76" s="46" t="s">
        <v>24</v>
      </c>
      <c r="I76" s="56" t="s">
        <v>25</v>
      </c>
      <c r="J76" s="35"/>
      <c r="K76" s="33">
        <v>580.53</v>
      </c>
      <c r="L76" s="19"/>
    </row>
    <row r="77" spans="1:12" ht="24.75" hidden="1" customHeight="1" x14ac:dyDescent="0.15">
      <c r="A77" s="18"/>
      <c r="B77" s="69" t="str">
        <f t="shared" si="1"/>
        <v>01/2026</v>
      </c>
      <c r="C77" s="9">
        <v>46034</v>
      </c>
      <c r="D77" s="47" t="s">
        <v>83</v>
      </c>
      <c r="E77" s="46" t="s">
        <v>311</v>
      </c>
      <c r="F77" s="46" t="s">
        <v>85</v>
      </c>
      <c r="G77" s="4" t="s">
        <v>316</v>
      </c>
      <c r="H77" s="46" t="s">
        <v>24</v>
      </c>
      <c r="I77" s="56" t="s">
        <v>25</v>
      </c>
      <c r="J77" s="34"/>
      <c r="K77" s="32">
        <v>1218.1099999999999</v>
      </c>
      <c r="L77" s="19"/>
    </row>
    <row r="78" spans="1:12" ht="24.75" hidden="1" customHeight="1" x14ac:dyDescent="0.15">
      <c r="A78" s="18"/>
      <c r="B78" s="69" t="str">
        <f t="shared" si="1"/>
        <v>01/2026</v>
      </c>
      <c r="C78" s="9">
        <v>46034</v>
      </c>
      <c r="D78" s="47" t="s">
        <v>237</v>
      </c>
      <c r="E78" s="46" t="s">
        <v>317</v>
      </c>
      <c r="F78" s="46" t="s">
        <v>320</v>
      </c>
      <c r="G78" s="4" t="s">
        <v>238</v>
      </c>
      <c r="H78" s="46" t="s">
        <v>24</v>
      </c>
      <c r="I78" s="56" t="s">
        <v>25</v>
      </c>
      <c r="J78" s="34"/>
      <c r="K78" s="33">
        <v>982.4</v>
      </c>
      <c r="L78" s="19"/>
    </row>
    <row r="79" spans="1:12" ht="24.75" hidden="1" customHeight="1" x14ac:dyDescent="0.15">
      <c r="A79" s="18"/>
      <c r="B79" s="69" t="str">
        <f t="shared" si="1"/>
        <v>01/2026</v>
      </c>
      <c r="C79" s="9">
        <v>46034</v>
      </c>
      <c r="D79" s="47" t="s">
        <v>98</v>
      </c>
      <c r="E79" s="46" t="s">
        <v>324</v>
      </c>
      <c r="F79" s="46" t="s">
        <v>301</v>
      </c>
      <c r="G79" s="4" t="s">
        <v>222</v>
      </c>
      <c r="H79" s="37" t="s">
        <v>24</v>
      </c>
      <c r="I79" s="56" t="s">
        <v>25</v>
      </c>
      <c r="J79" s="35"/>
      <c r="K79" s="32">
        <v>224</v>
      </c>
      <c r="L79" s="19"/>
    </row>
    <row r="80" spans="1:12" ht="24.75" hidden="1" customHeight="1" x14ac:dyDescent="0.15">
      <c r="A80" s="18"/>
      <c r="B80" s="69" t="str">
        <f t="shared" si="1"/>
        <v>01/2026</v>
      </c>
      <c r="C80" s="9">
        <v>46034</v>
      </c>
      <c r="D80" s="47" t="s">
        <v>98</v>
      </c>
      <c r="E80" s="46" t="s">
        <v>324</v>
      </c>
      <c r="F80" s="46" t="s">
        <v>301</v>
      </c>
      <c r="G80" s="4" t="s">
        <v>222</v>
      </c>
      <c r="H80" s="37" t="s">
        <v>24</v>
      </c>
      <c r="I80" s="56" t="s">
        <v>25</v>
      </c>
      <c r="J80" s="34"/>
      <c r="K80" s="32">
        <v>22.74</v>
      </c>
      <c r="L80" s="19"/>
    </row>
    <row r="81" spans="1:12" ht="24.75" hidden="1" customHeight="1" x14ac:dyDescent="0.15">
      <c r="A81" s="18"/>
      <c r="B81" s="69" t="str">
        <f t="shared" si="1"/>
        <v>01/2026</v>
      </c>
      <c r="C81" s="9">
        <v>46034</v>
      </c>
      <c r="D81" s="8" t="s">
        <v>235</v>
      </c>
      <c r="E81" s="46" t="s">
        <v>339</v>
      </c>
      <c r="F81" s="46" t="s">
        <v>148</v>
      </c>
      <c r="G81" s="4" t="s">
        <v>119</v>
      </c>
      <c r="H81" s="46" t="s">
        <v>119</v>
      </c>
      <c r="I81" s="56" t="s">
        <v>25</v>
      </c>
      <c r="J81" s="34">
        <v>50000</v>
      </c>
      <c r="K81" s="32"/>
      <c r="L81" s="19"/>
    </row>
    <row r="82" spans="1:12" ht="24.75" hidden="1" customHeight="1" x14ac:dyDescent="0.15">
      <c r="A82" s="18"/>
      <c r="B82" s="69" t="str">
        <f t="shared" si="1"/>
        <v>01/2026</v>
      </c>
      <c r="C82" s="9">
        <v>46034</v>
      </c>
      <c r="D82" s="47" t="s">
        <v>71</v>
      </c>
      <c r="E82" s="46" t="s">
        <v>321</v>
      </c>
      <c r="F82" s="46" t="s">
        <v>352</v>
      </c>
      <c r="G82" s="4" t="s">
        <v>73</v>
      </c>
      <c r="H82" s="37" t="s">
        <v>24</v>
      </c>
      <c r="I82" s="56" t="s">
        <v>25</v>
      </c>
      <c r="J82" s="34"/>
      <c r="K82" s="32">
        <v>15074.25</v>
      </c>
      <c r="L82" s="19"/>
    </row>
    <row r="83" spans="1:12" ht="24.75" hidden="1" customHeight="1" x14ac:dyDescent="0.15">
      <c r="A83" s="18"/>
      <c r="B83" s="69" t="str">
        <f t="shared" si="1"/>
        <v>01/2026</v>
      </c>
      <c r="C83" s="9">
        <v>46035</v>
      </c>
      <c r="D83" s="47" t="s">
        <v>286</v>
      </c>
      <c r="E83" s="46" t="s">
        <v>313</v>
      </c>
      <c r="F83" s="46" t="s">
        <v>30</v>
      </c>
      <c r="G83" s="4" t="s">
        <v>30</v>
      </c>
      <c r="H83" s="46" t="s">
        <v>362</v>
      </c>
      <c r="I83" s="56" t="s">
        <v>25</v>
      </c>
      <c r="J83" s="32"/>
      <c r="K83" s="33">
        <v>180</v>
      </c>
      <c r="L83" s="19"/>
    </row>
    <row r="84" spans="1:12" ht="24.75" hidden="1" customHeight="1" x14ac:dyDescent="0.15">
      <c r="A84" s="18"/>
      <c r="B84" s="69" t="str">
        <f t="shared" si="1"/>
        <v>01/2026</v>
      </c>
      <c r="C84" s="9">
        <v>46035</v>
      </c>
      <c r="D84" s="47" t="s">
        <v>98</v>
      </c>
      <c r="E84" s="46" t="s">
        <v>324</v>
      </c>
      <c r="F84" s="46" t="s">
        <v>301</v>
      </c>
      <c r="G84" s="4" t="s">
        <v>222</v>
      </c>
      <c r="H84" s="37" t="s">
        <v>24</v>
      </c>
      <c r="I84" s="56" t="s">
        <v>25</v>
      </c>
      <c r="J84" s="34"/>
      <c r="K84" s="32">
        <v>7.7</v>
      </c>
      <c r="L84" s="19"/>
    </row>
    <row r="85" spans="1:12" ht="24.75" hidden="1" customHeight="1" x14ac:dyDescent="0.15">
      <c r="A85" s="18"/>
      <c r="B85" s="69" t="str">
        <f t="shared" si="1"/>
        <v>01/2026</v>
      </c>
      <c r="C85" s="9">
        <v>46035</v>
      </c>
      <c r="D85" s="47" t="s">
        <v>98</v>
      </c>
      <c r="E85" s="46" t="s">
        <v>324</v>
      </c>
      <c r="F85" s="46" t="s">
        <v>301</v>
      </c>
      <c r="G85" s="4" t="s">
        <v>222</v>
      </c>
      <c r="H85" s="37" t="s">
        <v>24</v>
      </c>
      <c r="I85" s="56" t="s">
        <v>25</v>
      </c>
      <c r="J85" s="34"/>
      <c r="K85" s="33">
        <v>0.98</v>
      </c>
      <c r="L85" s="19"/>
    </row>
    <row r="86" spans="1:12" ht="24.75" hidden="1" customHeight="1" x14ac:dyDescent="0.15">
      <c r="A86" s="18"/>
      <c r="B86" s="69" t="str">
        <f t="shared" si="1"/>
        <v>01/2026</v>
      </c>
      <c r="C86" s="9">
        <v>46036</v>
      </c>
      <c r="D86" s="47" t="s">
        <v>162</v>
      </c>
      <c r="E86" s="46" t="s">
        <v>324</v>
      </c>
      <c r="F86" s="46" t="s">
        <v>325</v>
      </c>
      <c r="G86" s="4" t="s">
        <v>191</v>
      </c>
      <c r="H86" s="37" t="s">
        <v>24</v>
      </c>
      <c r="I86" s="56" t="s">
        <v>25</v>
      </c>
      <c r="J86" s="34"/>
      <c r="K86" s="33">
        <v>13460.76</v>
      </c>
      <c r="L86" s="19"/>
    </row>
    <row r="87" spans="1:12" ht="24.75" hidden="1" customHeight="1" x14ac:dyDescent="0.15">
      <c r="A87" s="18"/>
      <c r="B87" s="69" t="str">
        <f t="shared" si="1"/>
        <v>01/2026</v>
      </c>
      <c r="C87" s="9">
        <v>46036</v>
      </c>
      <c r="D87" s="47" t="s">
        <v>162</v>
      </c>
      <c r="E87" s="46" t="s">
        <v>324</v>
      </c>
      <c r="F87" s="46" t="s">
        <v>325</v>
      </c>
      <c r="G87" s="4" t="s">
        <v>192</v>
      </c>
      <c r="H87" s="37" t="s">
        <v>24</v>
      </c>
      <c r="I87" s="56" t="s">
        <v>25</v>
      </c>
      <c r="J87" s="34"/>
      <c r="K87" s="33">
        <v>7008.95</v>
      </c>
      <c r="L87" s="19"/>
    </row>
    <row r="88" spans="1:12" ht="24.75" hidden="1" customHeight="1" x14ac:dyDescent="0.15">
      <c r="A88" s="18"/>
      <c r="B88" s="69" t="str">
        <f t="shared" si="1"/>
        <v>01/2026</v>
      </c>
      <c r="C88" s="9">
        <v>46036</v>
      </c>
      <c r="D88" s="47" t="s">
        <v>274</v>
      </c>
      <c r="E88" s="46" t="s">
        <v>310</v>
      </c>
      <c r="F88" s="46" t="s">
        <v>308</v>
      </c>
      <c r="G88" s="4" t="s">
        <v>55</v>
      </c>
      <c r="H88" s="46" t="s">
        <v>362</v>
      </c>
      <c r="I88" s="56" t="s">
        <v>25</v>
      </c>
      <c r="J88" s="34"/>
      <c r="K88" s="33">
        <v>112.37</v>
      </c>
      <c r="L88" s="19"/>
    </row>
    <row r="89" spans="1:12" ht="24.75" hidden="1" customHeight="1" x14ac:dyDescent="0.15">
      <c r="A89" s="18"/>
      <c r="B89" s="69" t="str">
        <f t="shared" si="1"/>
        <v>01/2026</v>
      </c>
      <c r="C89" s="9">
        <v>46036</v>
      </c>
      <c r="D89" s="47" t="s">
        <v>32</v>
      </c>
      <c r="E89" s="46" t="s">
        <v>311</v>
      </c>
      <c r="F89" s="46" t="s">
        <v>146</v>
      </c>
      <c r="G89" s="4" t="s">
        <v>38</v>
      </c>
      <c r="H89" s="46" t="s">
        <v>362</v>
      </c>
      <c r="I89" s="56" t="s">
        <v>25</v>
      </c>
      <c r="J89" s="34"/>
      <c r="K89" s="33">
        <v>9.01</v>
      </c>
      <c r="L89" s="19"/>
    </row>
    <row r="90" spans="1:12" ht="24.75" hidden="1" customHeight="1" x14ac:dyDescent="0.15">
      <c r="A90" s="18"/>
      <c r="B90" s="69" t="str">
        <f t="shared" si="1"/>
        <v>01/2026</v>
      </c>
      <c r="C90" s="9">
        <v>46036</v>
      </c>
      <c r="D90" s="47" t="s">
        <v>78</v>
      </c>
      <c r="E90" s="46" t="s">
        <v>311</v>
      </c>
      <c r="F90" s="46" t="s">
        <v>145</v>
      </c>
      <c r="G90" s="4" t="s">
        <v>79</v>
      </c>
      <c r="H90" s="46" t="s">
        <v>367</v>
      </c>
      <c r="I90" s="56" t="s">
        <v>25</v>
      </c>
      <c r="J90" s="34"/>
      <c r="K90" s="33">
        <v>183.4</v>
      </c>
      <c r="L90" s="19"/>
    </row>
    <row r="91" spans="1:12" ht="24.75" hidden="1" customHeight="1" x14ac:dyDescent="0.15">
      <c r="A91" s="18"/>
      <c r="B91" s="69" t="str">
        <f t="shared" si="1"/>
        <v>01/2026</v>
      </c>
      <c r="C91" s="9">
        <v>46037</v>
      </c>
      <c r="D91" s="47" t="s">
        <v>274</v>
      </c>
      <c r="E91" s="46" t="s">
        <v>310</v>
      </c>
      <c r="F91" s="46" t="s">
        <v>99</v>
      </c>
      <c r="G91" s="4" t="s">
        <v>99</v>
      </c>
      <c r="H91" s="46" t="s">
        <v>362</v>
      </c>
      <c r="I91" s="56" t="s">
        <v>25</v>
      </c>
      <c r="J91" s="35"/>
      <c r="K91" s="32">
        <v>500</v>
      </c>
      <c r="L91" s="19"/>
    </row>
    <row r="92" spans="1:12" ht="24.75" hidden="1" customHeight="1" x14ac:dyDescent="0.15">
      <c r="A92" s="18"/>
      <c r="B92" s="69" t="str">
        <f t="shared" si="1"/>
        <v>01/2026</v>
      </c>
      <c r="C92" s="9">
        <v>46037</v>
      </c>
      <c r="D92" s="47" t="s">
        <v>98</v>
      </c>
      <c r="E92" s="46" t="s">
        <v>324</v>
      </c>
      <c r="F92" s="46" t="s">
        <v>301</v>
      </c>
      <c r="G92" s="4" t="s">
        <v>222</v>
      </c>
      <c r="H92" s="37" t="s">
        <v>24</v>
      </c>
      <c r="I92" s="56" t="s">
        <v>25</v>
      </c>
      <c r="J92" s="34"/>
      <c r="K92" s="32">
        <v>3.4</v>
      </c>
      <c r="L92" s="19"/>
    </row>
    <row r="93" spans="1:12" ht="24.75" hidden="1" customHeight="1" x14ac:dyDescent="0.15">
      <c r="A93" s="18"/>
      <c r="B93" s="69" t="str">
        <f t="shared" si="1"/>
        <v>01/2026</v>
      </c>
      <c r="C93" s="9">
        <v>46037</v>
      </c>
      <c r="D93" s="47" t="s">
        <v>78</v>
      </c>
      <c r="E93" s="46" t="s">
        <v>311</v>
      </c>
      <c r="F93" s="46" t="s">
        <v>145</v>
      </c>
      <c r="G93" s="4" t="s">
        <v>79</v>
      </c>
      <c r="H93" s="46" t="s">
        <v>362</v>
      </c>
      <c r="I93" s="56" t="s">
        <v>25</v>
      </c>
      <c r="J93" s="35"/>
      <c r="K93" s="32">
        <v>411.2</v>
      </c>
      <c r="L93" s="19"/>
    </row>
    <row r="94" spans="1:12" ht="24.75" hidden="1" customHeight="1" x14ac:dyDescent="0.15">
      <c r="A94" s="18"/>
      <c r="B94" s="69" t="str">
        <f t="shared" si="1"/>
        <v>01/2026</v>
      </c>
      <c r="C94" s="9">
        <v>46038</v>
      </c>
      <c r="D94" s="8" t="s">
        <v>63</v>
      </c>
      <c r="E94" s="46" t="s">
        <v>339</v>
      </c>
      <c r="F94" s="46" t="s">
        <v>341</v>
      </c>
      <c r="G94" s="4" t="s">
        <v>119</v>
      </c>
      <c r="H94" s="37" t="s">
        <v>119</v>
      </c>
      <c r="I94" s="56" t="s">
        <v>25</v>
      </c>
      <c r="J94" s="34">
        <v>30000</v>
      </c>
      <c r="K94" s="33"/>
      <c r="L94" s="19"/>
    </row>
    <row r="95" spans="1:12" ht="24.75" hidden="1" customHeight="1" x14ac:dyDescent="0.15">
      <c r="A95" s="18"/>
      <c r="B95" s="69" t="str">
        <f t="shared" si="1"/>
        <v>01/2026</v>
      </c>
      <c r="C95" s="9">
        <v>46038</v>
      </c>
      <c r="D95" s="8" t="s">
        <v>68</v>
      </c>
      <c r="E95" s="46" t="s">
        <v>311</v>
      </c>
      <c r="F95" s="46" t="s">
        <v>312</v>
      </c>
      <c r="G95" s="4" t="s">
        <v>276</v>
      </c>
      <c r="H95" s="37" t="s">
        <v>363</v>
      </c>
      <c r="I95" s="56" t="s">
        <v>25</v>
      </c>
      <c r="J95" s="34"/>
      <c r="K95" s="32">
        <v>21.7</v>
      </c>
      <c r="L95" s="19"/>
    </row>
    <row r="96" spans="1:12" ht="24.75" hidden="1" customHeight="1" x14ac:dyDescent="0.15">
      <c r="A96" s="18"/>
      <c r="B96" s="69" t="str">
        <f t="shared" si="1"/>
        <v>01/2026</v>
      </c>
      <c r="C96" s="9">
        <v>46038</v>
      </c>
      <c r="D96" s="47" t="s">
        <v>68</v>
      </c>
      <c r="E96" s="46" t="s">
        <v>311</v>
      </c>
      <c r="F96" s="46" t="s">
        <v>312</v>
      </c>
      <c r="G96" s="4" t="s">
        <v>279</v>
      </c>
      <c r="H96" s="37" t="s">
        <v>363</v>
      </c>
      <c r="I96" s="56" t="s">
        <v>25</v>
      </c>
      <c r="J96" s="34"/>
      <c r="K96" s="33">
        <v>1576.59</v>
      </c>
      <c r="L96" s="19"/>
    </row>
    <row r="97" spans="1:18" ht="24.75" hidden="1" customHeight="1" x14ac:dyDescent="0.15">
      <c r="A97" s="18"/>
      <c r="B97" s="69" t="str">
        <f t="shared" si="1"/>
        <v>01/2026</v>
      </c>
      <c r="C97" s="9">
        <v>46038</v>
      </c>
      <c r="D97" s="47" t="s">
        <v>68</v>
      </c>
      <c r="E97" s="46" t="s">
        <v>311</v>
      </c>
      <c r="F97" s="46" t="s">
        <v>312</v>
      </c>
      <c r="G97" s="4" t="s">
        <v>280</v>
      </c>
      <c r="H97" s="37" t="s">
        <v>363</v>
      </c>
      <c r="I97" s="56" t="s">
        <v>25</v>
      </c>
      <c r="J97" s="34"/>
      <c r="K97" s="33">
        <v>27.88</v>
      </c>
      <c r="L97" s="19"/>
    </row>
    <row r="98" spans="1:18" ht="24.75" hidden="1" customHeight="1" x14ac:dyDescent="0.15">
      <c r="A98" s="18"/>
      <c r="B98" s="69" t="str">
        <f t="shared" si="1"/>
        <v>01/2026</v>
      </c>
      <c r="C98" s="9">
        <v>46038</v>
      </c>
      <c r="D98" s="47" t="s">
        <v>275</v>
      </c>
      <c r="E98" s="46" t="s">
        <v>313</v>
      </c>
      <c r="F98" s="46" t="s">
        <v>30</v>
      </c>
      <c r="G98" s="4" t="s">
        <v>30</v>
      </c>
      <c r="H98" s="46" t="s">
        <v>362</v>
      </c>
      <c r="I98" s="56" t="s">
        <v>25</v>
      </c>
      <c r="J98" s="35"/>
      <c r="K98" s="32">
        <v>790</v>
      </c>
      <c r="L98" s="19"/>
    </row>
    <row r="99" spans="1:18" ht="24.75" hidden="1" customHeight="1" x14ac:dyDescent="0.15">
      <c r="A99" s="18"/>
      <c r="B99" s="69" t="str">
        <f t="shared" si="1"/>
        <v>01/2026</v>
      </c>
      <c r="C99" s="9">
        <v>46038</v>
      </c>
      <c r="D99" s="47" t="s">
        <v>206</v>
      </c>
      <c r="E99" s="46" t="s">
        <v>339</v>
      </c>
      <c r="F99" s="46" t="s">
        <v>340</v>
      </c>
      <c r="G99" s="4" t="s">
        <v>206</v>
      </c>
      <c r="H99" s="37" t="s">
        <v>24</v>
      </c>
      <c r="I99" s="56" t="s">
        <v>25</v>
      </c>
      <c r="J99" s="35">
        <f>90+180</f>
        <v>270</v>
      </c>
      <c r="K99" s="33"/>
      <c r="L99" s="19"/>
    </row>
    <row r="100" spans="1:18" ht="24.75" hidden="1" customHeight="1" x14ac:dyDescent="0.15">
      <c r="A100" s="18"/>
      <c r="B100" s="69" t="str">
        <f t="shared" si="1"/>
        <v>01/2026</v>
      </c>
      <c r="C100" s="9">
        <v>46038</v>
      </c>
      <c r="D100" s="8" t="s">
        <v>67</v>
      </c>
      <c r="E100" s="46" t="s">
        <v>310</v>
      </c>
      <c r="F100" s="46" t="s">
        <v>300</v>
      </c>
      <c r="G100" s="4" t="s">
        <v>276</v>
      </c>
      <c r="H100" s="37" t="s">
        <v>363</v>
      </c>
      <c r="I100" s="56" t="s">
        <v>25</v>
      </c>
      <c r="J100" s="34"/>
      <c r="K100" s="32">
        <v>1059.05</v>
      </c>
      <c r="L100" s="19"/>
    </row>
    <row r="101" spans="1:18" ht="24.75" hidden="1" customHeight="1" x14ac:dyDescent="0.15">
      <c r="A101" s="18"/>
      <c r="B101" s="69" t="str">
        <f t="shared" si="1"/>
        <v>01/2026</v>
      </c>
      <c r="C101" s="9">
        <v>46038</v>
      </c>
      <c r="D101" s="47" t="s">
        <v>67</v>
      </c>
      <c r="E101" s="46" t="s">
        <v>310</v>
      </c>
      <c r="F101" s="46" t="s">
        <v>300</v>
      </c>
      <c r="G101" s="4" t="s">
        <v>277</v>
      </c>
      <c r="H101" s="37" t="s">
        <v>363</v>
      </c>
      <c r="I101" s="56" t="s">
        <v>25</v>
      </c>
      <c r="J101" s="35"/>
      <c r="K101" s="33">
        <v>1525.63</v>
      </c>
      <c r="L101" s="19"/>
    </row>
    <row r="102" spans="1:18" ht="24.75" hidden="1" customHeight="1" x14ac:dyDescent="0.15">
      <c r="A102" s="18"/>
      <c r="B102" s="69" t="str">
        <f t="shared" si="1"/>
        <v>01/2026</v>
      </c>
      <c r="C102" s="9">
        <v>46038</v>
      </c>
      <c r="D102" s="47" t="s">
        <v>67</v>
      </c>
      <c r="E102" s="46" t="s">
        <v>310</v>
      </c>
      <c r="F102" s="46" t="s">
        <v>300</v>
      </c>
      <c r="G102" s="4" t="s">
        <v>278</v>
      </c>
      <c r="H102" s="37" t="s">
        <v>363</v>
      </c>
      <c r="I102" s="56" t="s">
        <v>25</v>
      </c>
      <c r="J102" s="34"/>
      <c r="K102" s="33">
        <v>1696.77</v>
      </c>
      <c r="L102" s="19"/>
    </row>
    <row r="103" spans="1:18" ht="24.75" hidden="1" customHeight="1" x14ac:dyDescent="0.15">
      <c r="A103" s="18"/>
      <c r="B103" s="69" t="str">
        <f t="shared" si="1"/>
        <v>01/2026</v>
      </c>
      <c r="C103" s="9">
        <v>46038</v>
      </c>
      <c r="D103" s="47" t="s">
        <v>67</v>
      </c>
      <c r="E103" s="46" t="s">
        <v>310</v>
      </c>
      <c r="F103" s="46" t="s">
        <v>300</v>
      </c>
      <c r="G103" s="4" t="s">
        <v>279</v>
      </c>
      <c r="H103" s="37" t="s">
        <v>363</v>
      </c>
      <c r="I103" s="56" t="s">
        <v>25</v>
      </c>
      <c r="J103" s="34"/>
      <c r="K103" s="32">
        <v>8903.89</v>
      </c>
      <c r="L103" s="19"/>
    </row>
    <row r="104" spans="1:18" ht="24.75" hidden="1" customHeight="1" x14ac:dyDescent="0.15">
      <c r="A104" s="18"/>
      <c r="B104" s="69" t="str">
        <f t="shared" si="1"/>
        <v>01/2026</v>
      </c>
      <c r="C104" s="9">
        <v>46038</v>
      </c>
      <c r="D104" s="47" t="s">
        <v>67</v>
      </c>
      <c r="E104" s="46" t="s">
        <v>310</v>
      </c>
      <c r="F104" s="46" t="s">
        <v>300</v>
      </c>
      <c r="G104" s="4" t="s">
        <v>280</v>
      </c>
      <c r="H104" s="37" t="s">
        <v>363</v>
      </c>
      <c r="I104" s="56" t="s">
        <v>25</v>
      </c>
      <c r="J104" s="35"/>
      <c r="K104" s="32">
        <v>1341.98</v>
      </c>
      <c r="L104" s="19"/>
    </row>
    <row r="105" spans="1:18" ht="24.75" hidden="1" customHeight="1" x14ac:dyDescent="0.15">
      <c r="A105" s="18"/>
      <c r="B105" s="69" t="str">
        <f t="shared" si="1"/>
        <v>01/2026</v>
      </c>
      <c r="C105" s="9">
        <v>46038</v>
      </c>
      <c r="D105" s="47" t="s">
        <v>98</v>
      </c>
      <c r="E105" s="46" t="s">
        <v>324</v>
      </c>
      <c r="F105" s="46" t="s">
        <v>301</v>
      </c>
      <c r="G105" s="4" t="s">
        <v>222</v>
      </c>
      <c r="H105" s="37" t="s">
        <v>24</v>
      </c>
      <c r="I105" s="56" t="s">
        <v>25</v>
      </c>
      <c r="J105" s="32"/>
      <c r="K105" s="33">
        <v>4.96</v>
      </c>
      <c r="L105" s="19"/>
    </row>
    <row r="106" spans="1:18" ht="24.75" hidden="1" customHeight="1" x14ac:dyDescent="0.15">
      <c r="A106" s="18"/>
      <c r="B106" s="69" t="str">
        <f t="shared" si="1"/>
        <v>01/2026</v>
      </c>
      <c r="C106" s="9">
        <v>46041</v>
      </c>
      <c r="D106" s="47" t="s">
        <v>271</v>
      </c>
      <c r="E106" s="46" t="s">
        <v>317</v>
      </c>
      <c r="F106" s="46" t="s">
        <v>334</v>
      </c>
      <c r="G106" s="4" t="s">
        <v>175</v>
      </c>
      <c r="H106" s="46" t="s">
        <v>362</v>
      </c>
      <c r="I106" s="56" t="s">
        <v>25</v>
      </c>
      <c r="J106" s="35"/>
      <c r="K106" s="32">
        <v>550</v>
      </c>
      <c r="L106" s="19"/>
    </row>
    <row r="107" spans="1:18" ht="24.75" hidden="1" customHeight="1" x14ac:dyDescent="0.15">
      <c r="A107" s="18"/>
      <c r="B107" s="69" t="str">
        <f t="shared" si="1"/>
        <v>01/2026</v>
      </c>
      <c r="C107" s="9">
        <v>46041</v>
      </c>
      <c r="D107" s="47" t="s">
        <v>98</v>
      </c>
      <c r="E107" s="46" t="s">
        <v>324</v>
      </c>
      <c r="F107" s="46" t="s">
        <v>301</v>
      </c>
      <c r="G107" s="4" t="s">
        <v>222</v>
      </c>
      <c r="H107" s="37" t="s">
        <v>24</v>
      </c>
      <c r="I107" s="56" t="s">
        <v>25</v>
      </c>
      <c r="J107" s="35"/>
      <c r="K107" s="32">
        <v>19.25</v>
      </c>
      <c r="L107" s="19"/>
    </row>
    <row r="108" spans="1:18" ht="24.75" hidden="1" customHeight="1" x14ac:dyDescent="0.15">
      <c r="A108" s="18"/>
      <c r="B108" s="69" t="str">
        <f t="shared" si="1"/>
        <v>01/2026</v>
      </c>
      <c r="C108" s="9">
        <v>46041</v>
      </c>
      <c r="D108" s="47" t="s">
        <v>98</v>
      </c>
      <c r="E108" s="46" t="s">
        <v>324</v>
      </c>
      <c r="F108" s="46" t="s">
        <v>301</v>
      </c>
      <c r="G108" s="4" t="s">
        <v>222</v>
      </c>
      <c r="H108" s="37" t="s">
        <v>24</v>
      </c>
      <c r="I108" s="56" t="s">
        <v>25</v>
      </c>
      <c r="J108" s="34"/>
      <c r="K108" s="32">
        <v>3.85</v>
      </c>
      <c r="L108" s="19"/>
    </row>
    <row r="109" spans="1:18" ht="24.75" hidden="1" customHeight="1" x14ac:dyDescent="0.15">
      <c r="A109" s="18"/>
      <c r="B109" s="69" t="str">
        <f t="shared" si="1"/>
        <v>01/2026</v>
      </c>
      <c r="C109" s="9">
        <v>46041</v>
      </c>
      <c r="D109" s="8" t="s">
        <v>91</v>
      </c>
      <c r="E109" s="46" t="s">
        <v>311</v>
      </c>
      <c r="F109" s="4" t="s">
        <v>319</v>
      </c>
      <c r="G109" s="4" t="s">
        <v>95</v>
      </c>
      <c r="H109" s="46" t="s">
        <v>367</v>
      </c>
      <c r="I109" s="56" t="s">
        <v>25</v>
      </c>
      <c r="J109" s="35"/>
      <c r="K109" s="32">
        <v>1400</v>
      </c>
      <c r="L109" s="19"/>
    </row>
    <row r="110" spans="1:18" ht="24.75" hidden="1" customHeight="1" x14ac:dyDescent="0.15">
      <c r="A110" s="18"/>
      <c r="B110" s="69" t="str">
        <f t="shared" si="1"/>
        <v>01/2026</v>
      </c>
      <c r="C110" s="9">
        <v>46041</v>
      </c>
      <c r="D110" s="8" t="s">
        <v>32</v>
      </c>
      <c r="E110" s="46" t="s">
        <v>311</v>
      </c>
      <c r="F110" s="4" t="s">
        <v>146</v>
      </c>
      <c r="G110" s="4" t="s">
        <v>38</v>
      </c>
      <c r="H110" s="46" t="s">
        <v>362</v>
      </c>
      <c r="I110" s="56" t="s">
        <v>25</v>
      </c>
      <c r="J110" s="34"/>
      <c r="K110" s="32">
        <v>9.1</v>
      </c>
      <c r="L110" s="19"/>
    </row>
    <row r="111" spans="1:18" ht="24.75" hidden="1" customHeight="1" x14ac:dyDescent="0.15">
      <c r="A111" s="18"/>
      <c r="B111" s="69" t="str">
        <f t="shared" si="1"/>
        <v>01/2026</v>
      </c>
      <c r="C111" s="9">
        <v>46042</v>
      </c>
      <c r="D111" s="47" t="s">
        <v>167</v>
      </c>
      <c r="E111" s="46" t="s">
        <v>314</v>
      </c>
      <c r="F111" s="4" t="s">
        <v>351</v>
      </c>
      <c r="G111" s="4" t="s">
        <v>204</v>
      </c>
      <c r="H111" s="46" t="s">
        <v>371</v>
      </c>
      <c r="I111" s="56" t="s">
        <v>25</v>
      </c>
      <c r="J111" s="34"/>
      <c r="K111" s="32">
        <v>1991.38</v>
      </c>
      <c r="L111" s="19"/>
    </row>
    <row r="112" spans="1:18" ht="24.75" hidden="1" customHeight="1" x14ac:dyDescent="0.15">
      <c r="A112" s="18"/>
      <c r="B112" s="69" t="str">
        <f t="shared" si="1"/>
        <v>01/2026</v>
      </c>
      <c r="C112" s="9">
        <v>46042</v>
      </c>
      <c r="D112" s="47" t="s">
        <v>167</v>
      </c>
      <c r="E112" s="46" t="s">
        <v>314</v>
      </c>
      <c r="F112" s="46" t="s">
        <v>351</v>
      </c>
      <c r="G112" s="4" t="s">
        <v>203</v>
      </c>
      <c r="H112" s="46" t="s">
        <v>371</v>
      </c>
      <c r="I112" s="56" t="s">
        <v>25</v>
      </c>
      <c r="J112" s="34"/>
      <c r="K112" s="32">
        <v>17922.439999999999</v>
      </c>
      <c r="L112" s="19"/>
      <c r="N112" s="57"/>
      <c r="O112" s="57"/>
      <c r="P112" s="57"/>
      <c r="Q112" s="57"/>
      <c r="R112" s="57"/>
    </row>
    <row r="113" spans="1:18" ht="24.75" hidden="1" customHeight="1" x14ac:dyDescent="0.15">
      <c r="A113" s="18"/>
      <c r="B113" s="69" t="str">
        <f t="shared" si="1"/>
        <v>01/2026</v>
      </c>
      <c r="C113" s="9">
        <v>46042</v>
      </c>
      <c r="D113" s="8" t="s">
        <v>184</v>
      </c>
      <c r="E113" s="46" t="s">
        <v>314</v>
      </c>
      <c r="F113" s="46" t="s">
        <v>351</v>
      </c>
      <c r="G113" s="4" t="s">
        <v>43</v>
      </c>
      <c r="H113" s="46" t="s">
        <v>366</v>
      </c>
      <c r="I113" s="56" t="s">
        <v>25</v>
      </c>
      <c r="J113" s="35"/>
      <c r="K113" s="32">
        <v>8000</v>
      </c>
      <c r="L113" s="19"/>
    </row>
    <row r="114" spans="1:18" ht="24.75" hidden="1" customHeight="1" x14ac:dyDescent="0.15">
      <c r="A114" s="18"/>
      <c r="B114" s="69" t="str">
        <f t="shared" si="1"/>
        <v>01/2026</v>
      </c>
      <c r="C114" s="9">
        <v>46042</v>
      </c>
      <c r="D114" s="8" t="s">
        <v>170</v>
      </c>
      <c r="E114" s="46" t="s">
        <v>314</v>
      </c>
      <c r="F114" s="46" t="s">
        <v>351</v>
      </c>
      <c r="G114" s="4" t="s">
        <v>107</v>
      </c>
      <c r="H114" s="46" t="s">
        <v>368</v>
      </c>
      <c r="I114" s="56" t="s">
        <v>25</v>
      </c>
      <c r="J114" s="35"/>
      <c r="K114" s="32">
        <v>18000</v>
      </c>
      <c r="L114" s="19"/>
    </row>
    <row r="115" spans="1:18" ht="24.75" hidden="1" customHeight="1" x14ac:dyDescent="0.15">
      <c r="A115" s="18"/>
      <c r="B115" s="69" t="str">
        <f t="shared" si="1"/>
        <v>01/2026</v>
      </c>
      <c r="C115" s="9">
        <v>46042</v>
      </c>
      <c r="D115" s="47" t="s">
        <v>170</v>
      </c>
      <c r="E115" s="46" t="s">
        <v>314</v>
      </c>
      <c r="F115" s="46" t="s">
        <v>351</v>
      </c>
      <c r="G115" s="4" t="s">
        <v>204</v>
      </c>
      <c r="H115" s="46" t="s">
        <v>368</v>
      </c>
      <c r="I115" s="56" t="s">
        <v>25</v>
      </c>
      <c r="J115" s="34"/>
      <c r="K115" s="32">
        <v>5000</v>
      </c>
      <c r="L115" s="19"/>
    </row>
    <row r="116" spans="1:18" ht="24.75" hidden="1" customHeight="1" x14ac:dyDescent="0.15">
      <c r="A116" s="18"/>
      <c r="B116" s="69" t="str">
        <f t="shared" si="1"/>
        <v>01/2026</v>
      </c>
      <c r="C116" s="9">
        <v>46042</v>
      </c>
      <c r="D116" s="47" t="s">
        <v>166</v>
      </c>
      <c r="E116" s="46" t="s">
        <v>313</v>
      </c>
      <c r="F116" s="46" t="s">
        <v>345</v>
      </c>
      <c r="G116" s="4" t="s">
        <v>41</v>
      </c>
      <c r="H116" s="46" t="s">
        <v>362</v>
      </c>
      <c r="I116" s="56" t="s">
        <v>25</v>
      </c>
      <c r="J116" s="34"/>
      <c r="K116" s="32">
        <v>6290.5</v>
      </c>
      <c r="L116" s="19"/>
    </row>
    <row r="117" spans="1:18" ht="24.75" hidden="1" customHeight="1" x14ac:dyDescent="0.15">
      <c r="A117" s="18"/>
      <c r="B117" s="69" t="str">
        <f t="shared" si="1"/>
        <v>01/2026</v>
      </c>
      <c r="C117" s="9">
        <v>46042</v>
      </c>
      <c r="D117" s="47" t="s">
        <v>179</v>
      </c>
      <c r="E117" s="46" t="s">
        <v>317</v>
      </c>
      <c r="F117" s="46" t="s">
        <v>34</v>
      </c>
      <c r="G117" s="4" t="s">
        <v>34</v>
      </c>
      <c r="H117" s="46" t="s">
        <v>24</v>
      </c>
      <c r="I117" s="56" t="s">
        <v>25</v>
      </c>
      <c r="J117" s="34"/>
      <c r="K117" s="32">
        <v>4950</v>
      </c>
      <c r="L117" s="19"/>
    </row>
    <row r="118" spans="1:18" ht="24.75" hidden="1" customHeight="1" x14ac:dyDescent="0.15">
      <c r="A118" s="18"/>
      <c r="B118" s="69" t="str">
        <f t="shared" si="1"/>
        <v>01/2026</v>
      </c>
      <c r="C118" s="9">
        <v>46042</v>
      </c>
      <c r="D118" s="47" t="s">
        <v>197</v>
      </c>
      <c r="E118" s="46" t="s">
        <v>311</v>
      </c>
      <c r="F118" s="46" t="s">
        <v>160</v>
      </c>
      <c r="G118" s="4" t="s">
        <v>160</v>
      </c>
      <c r="H118" s="46" t="s">
        <v>363</v>
      </c>
      <c r="I118" s="56" t="s">
        <v>25</v>
      </c>
      <c r="J118" s="35"/>
      <c r="K118" s="32">
        <v>39.36</v>
      </c>
      <c r="L118" s="19"/>
    </row>
    <row r="119" spans="1:18" ht="24.75" hidden="1" customHeight="1" x14ac:dyDescent="0.15">
      <c r="A119" s="18"/>
      <c r="B119" s="69" t="str">
        <f t="shared" si="1"/>
        <v>01/2026</v>
      </c>
      <c r="C119" s="9">
        <v>46042</v>
      </c>
      <c r="D119" s="47" t="s">
        <v>197</v>
      </c>
      <c r="E119" s="46" t="s">
        <v>311</v>
      </c>
      <c r="F119" s="46" t="s">
        <v>160</v>
      </c>
      <c r="G119" s="4" t="s">
        <v>160</v>
      </c>
      <c r="H119" s="46" t="s">
        <v>363</v>
      </c>
      <c r="I119" s="56" t="s">
        <v>25</v>
      </c>
      <c r="J119" s="34"/>
      <c r="K119" s="32">
        <v>39.36</v>
      </c>
      <c r="L119" s="19"/>
      <c r="N119" s="57"/>
      <c r="O119" s="57"/>
      <c r="P119" s="57"/>
      <c r="Q119" s="57"/>
      <c r="R119" s="57"/>
    </row>
    <row r="120" spans="1:18" ht="24.75" hidden="1" customHeight="1" x14ac:dyDescent="0.15">
      <c r="A120" s="18"/>
      <c r="B120" s="69" t="str">
        <f t="shared" si="1"/>
        <v>01/2026</v>
      </c>
      <c r="C120" s="9">
        <v>46042</v>
      </c>
      <c r="D120" s="47" t="s">
        <v>197</v>
      </c>
      <c r="E120" s="46" t="s">
        <v>311</v>
      </c>
      <c r="F120" s="46" t="s">
        <v>160</v>
      </c>
      <c r="G120" s="4" t="s">
        <v>160</v>
      </c>
      <c r="H120" s="46" t="s">
        <v>363</v>
      </c>
      <c r="I120" s="56" t="s">
        <v>25</v>
      </c>
      <c r="J120" s="32"/>
      <c r="K120" s="32">
        <v>39.36</v>
      </c>
      <c r="L120" s="19"/>
      <c r="N120" s="57"/>
      <c r="O120" s="57"/>
      <c r="P120" s="57"/>
      <c r="Q120" s="57"/>
      <c r="R120" s="57"/>
    </row>
    <row r="121" spans="1:18" ht="24.75" hidden="1" customHeight="1" x14ac:dyDescent="0.15">
      <c r="A121" s="18"/>
      <c r="B121" s="69" t="str">
        <f t="shared" si="1"/>
        <v>01/2026</v>
      </c>
      <c r="C121" s="9">
        <v>46042</v>
      </c>
      <c r="D121" s="47" t="s">
        <v>195</v>
      </c>
      <c r="E121" s="46" t="s">
        <v>311</v>
      </c>
      <c r="F121" s="46" t="s">
        <v>84</v>
      </c>
      <c r="G121" s="4" t="s">
        <v>84</v>
      </c>
      <c r="H121" s="46" t="s">
        <v>362</v>
      </c>
      <c r="I121" s="56" t="s">
        <v>25</v>
      </c>
      <c r="J121" s="34"/>
      <c r="K121" s="32">
        <v>11950.7</v>
      </c>
      <c r="L121" s="19"/>
      <c r="N121" s="57"/>
      <c r="O121" s="57"/>
      <c r="P121" s="57"/>
      <c r="Q121" s="57"/>
      <c r="R121" s="57"/>
    </row>
    <row r="122" spans="1:18" ht="24.75" hidden="1" customHeight="1" x14ac:dyDescent="0.15">
      <c r="A122" s="36" t="s">
        <v>42</v>
      </c>
      <c r="B122" s="69" t="str">
        <f t="shared" si="1"/>
        <v>01/2026</v>
      </c>
      <c r="C122" s="9">
        <v>46042</v>
      </c>
      <c r="D122" s="8" t="s">
        <v>36</v>
      </c>
      <c r="E122" s="46" t="s">
        <v>311</v>
      </c>
      <c r="F122" s="46" t="s">
        <v>37</v>
      </c>
      <c r="G122" s="4" t="s">
        <v>37</v>
      </c>
      <c r="H122" s="46" t="s">
        <v>362</v>
      </c>
      <c r="I122" s="56" t="s">
        <v>25</v>
      </c>
      <c r="J122" s="34"/>
      <c r="K122" s="32">
        <v>15809.05</v>
      </c>
      <c r="L122" s="19"/>
    </row>
    <row r="123" spans="1:18" ht="24.75" hidden="1" customHeight="1" x14ac:dyDescent="0.15">
      <c r="A123" s="18"/>
      <c r="B123" s="69" t="str">
        <f t="shared" si="1"/>
        <v>01/2026</v>
      </c>
      <c r="C123" s="9">
        <v>46042</v>
      </c>
      <c r="D123" s="8" t="s">
        <v>36</v>
      </c>
      <c r="E123" s="46" t="s">
        <v>311</v>
      </c>
      <c r="F123" s="46" t="s">
        <v>37</v>
      </c>
      <c r="G123" s="4" t="s">
        <v>37</v>
      </c>
      <c r="H123" s="46" t="s">
        <v>362</v>
      </c>
      <c r="I123" s="56" t="s">
        <v>25</v>
      </c>
      <c r="J123" s="34"/>
      <c r="K123" s="32">
        <v>68907.149999999994</v>
      </c>
      <c r="L123" s="19"/>
    </row>
    <row r="124" spans="1:18" ht="24.75" hidden="1" customHeight="1" x14ac:dyDescent="0.15">
      <c r="A124" s="18"/>
      <c r="B124" s="69" t="str">
        <f t="shared" si="1"/>
        <v>01/2026</v>
      </c>
      <c r="C124" s="9">
        <v>46042</v>
      </c>
      <c r="D124" s="47" t="s">
        <v>36</v>
      </c>
      <c r="E124" s="46" t="s">
        <v>311</v>
      </c>
      <c r="F124" s="46" t="s">
        <v>37</v>
      </c>
      <c r="G124" s="4" t="s">
        <v>223</v>
      </c>
      <c r="H124" s="46" t="s">
        <v>362</v>
      </c>
      <c r="I124" s="56" t="s">
        <v>25</v>
      </c>
      <c r="J124" s="34"/>
      <c r="K124" s="32">
        <v>22278.59</v>
      </c>
      <c r="L124" s="19"/>
      <c r="N124" s="57"/>
      <c r="O124" s="57"/>
      <c r="P124" s="57"/>
      <c r="Q124" s="57"/>
      <c r="R124" s="57"/>
    </row>
    <row r="125" spans="1:18" ht="24.75" hidden="1" customHeight="1" x14ac:dyDescent="0.15">
      <c r="A125" s="18"/>
      <c r="B125" s="69" t="str">
        <f t="shared" si="1"/>
        <v>01/2026</v>
      </c>
      <c r="C125" s="9">
        <v>46042</v>
      </c>
      <c r="D125" s="47" t="s">
        <v>80</v>
      </c>
      <c r="E125" s="46" t="s">
        <v>314</v>
      </c>
      <c r="F125" s="46" t="s">
        <v>331</v>
      </c>
      <c r="G125" s="4" t="s">
        <v>81</v>
      </c>
      <c r="H125" s="46" t="s">
        <v>24</v>
      </c>
      <c r="I125" s="56" t="s">
        <v>25</v>
      </c>
      <c r="J125" s="34"/>
      <c r="K125" s="32">
        <v>3500</v>
      </c>
      <c r="L125" s="19"/>
      <c r="N125" s="57"/>
      <c r="O125" s="57"/>
      <c r="P125" s="57"/>
      <c r="Q125" s="57"/>
      <c r="R125" s="57"/>
    </row>
    <row r="126" spans="1:18" ht="24.75" hidden="1" customHeight="1" x14ac:dyDescent="0.15">
      <c r="A126" s="18"/>
      <c r="B126" s="69" t="str">
        <f t="shared" si="1"/>
        <v>01/2026</v>
      </c>
      <c r="C126" s="9">
        <v>46042</v>
      </c>
      <c r="D126" s="47" t="s">
        <v>281</v>
      </c>
      <c r="E126" s="46" t="s">
        <v>324</v>
      </c>
      <c r="F126" s="46" t="s">
        <v>325</v>
      </c>
      <c r="G126" s="4" t="s">
        <v>89</v>
      </c>
      <c r="H126" s="46" t="s">
        <v>362</v>
      </c>
      <c r="I126" s="56" t="s">
        <v>25</v>
      </c>
      <c r="J126" s="35"/>
      <c r="K126" s="32">
        <v>20000</v>
      </c>
      <c r="L126" s="19"/>
      <c r="N126" s="57"/>
      <c r="O126" s="57"/>
      <c r="P126" s="57"/>
      <c r="Q126" s="57"/>
      <c r="R126" s="57"/>
    </row>
    <row r="127" spans="1:18" ht="24.75" hidden="1" customHeight="1" x14ac:dyDescent="0.15">
      <c r="A127" s="18"/>
      <c r="B127" s="69" t="str">
        <f t="shared" si="1"/>
        <v>01/2026</v>
      </c>
      <c r="C127" s="9">
        <v>46042</v>
      </c>
      <c r="D127" s="47" t="s">
        <v>33</v>
      </c>
      <c r="E127" s="46" t="s">
        <v>310</v>
      </c>
      <c r="F127" s="46" t="s">
        <v>308</v>
      </c>
      <c r="G127" s="4" t="s">
        <v>349</v>
      </c>
      <c r="H127" s="46" t="s">
        <v>363</v>
      </c>
      <c r="I127" s="56" t="s">
        <v>25</v>
      </c>
      <c r="J127" s="34"/>
      <c r="K127" s="32">
        <v>241954.16</v>
      </c>
      <c r="L127" s="19"/>
      <c r="N127" s="57"/>
      <c r="O127" s="57"/>
      <c r="P127" s="57"/>
      <c r="Q127" s="57"/>
      <c r="R127" s="57"/>
    </row>
    <row r="128" spans="1:18" ht="24.75" hidden="1" customHeight="1" x14ac:dyDescent="0.15">
      <c r="A128" s="18"/>
      <c r="B128" s="69" t="str">
        <f t="shared" si="1"/>
        <v>01/2026</v>
      </c>
      <c r="C128" s="9">
        <v>46042</v>
      </c>
      <c r="D128" s="8" t="s">
        <v>33</v>
      </c>
      <c r="E128" s="46" t="s">
        <v>310</v>
      </c>
      <c r="F128" s="46" t="s">
        <v>308</v>
      </c>
      <c r="G128" s="4" t="s">
        <v>349</v>
      </c>
      <c r="H128" s="46" t="s">
        <v>362</v>
      </c>
      <c r="I128" s="56" t="s">
        <v>25</v>
      </c>
      <c r="J128" s="34"/>
      <c r="K128" s="33">
        <v>94608.93</v>
      </c>
      <c r="L128" s="19"/>
    </row>
    <row r="129" spans="1:18" ht="24.75" hidden="1" customHeight="1" x14ac:dyDescent="0.15">
      <c r="A129" s="18"/>
      <c r="B129" s="69" t="str">
        <f t="shared" si="1"/>
        <v>01/2026</v>
      </c>
      <c r="C129" s="9">
        <v>46042</v>
      </c>
      <c r="D129" s="8" t="s">
        <v>235</v>
      </c>
      <c r="E129" s="46" t="s">
        <v>339</v>
      </c>
      <c r="F129" s="46" t="s">
        <v>148</v>
      </c>
      <c r="G129" s="4" t="s">
        <v>119</v>
      </c>
      <c r="H129" s="46" t="s">
        <v>119</v>
      </c>
      <c r="I129" s="56" t="s">
        <v>25</v>
      </c>
      <c r="J129" s="34">
        <v>600000</v>
      </c>
      <c r="K129" s="33"/>
      <c r="L129" s="19"/>
    </row>
    <row r="130" spans="1:18" ht="24.75" hidden="1" customHeight="1" x14ac:dyDescent="0.15">
      <c r="A130" s="18"/>
      <c r="B130" s="69" t="str">
        <f t="shared" si="1"/>
        <v>01/2026</v>
      </c>
      <c r="C130" s="9">
        <v>46042</v>
      </c>
      <c r="D130" s="47" t="s">
        <v>78</v>
      </c>
      <c r="E130" s="46" t="s">
        <v>311</v>
      </c>
      <c r="F130" s="46" t="s">
        <v>145</v>
      </c>
      <c r="G130" s="4" t="s">
        <v>79</v>
      </c>
      <c r="H130" s="46" t="s">
        <v>362</v>
      </c>
      <c r="I130" s="56" t="s">
        <v>25</v>
      </c>
      <c r="J130" s="35"/>
      <c r="K130" s="32">
        <v>2101.4</v>
      </c>
      <c r="L130" s="19"/>
    </row>
    <row r="131" spans="1:18" ht="24.75" hidden="1" customHeight="1" x14ac:dyDescent="0.15">
      <c r="A131" s="18"/>
      <c r="B131" s="69" t="str">
        <f t="shared" si="1"/>
        <v>01/2026</v>
      </c>
      <c r="C131" s="9">
        <v>46043</v>
      </c>
      <c r="D131" s="47" t="s">
        <v>250</v>
      </c>
      <c r="E131" s="46" t="s">
        <v>314</v>
      </c>
      <c r="F131" s="46" t="s">
        <v>351</v>
      </c>
      <c r="G131" s="4" t="s">
        <v>30</v>
      </c>
      <c r="H131" s="46" t="s">
        <v>370</v>
      </c>
      <c r="I131" s="56" t="s">
        <v>25</v>
      </c>
      <c r="J131" s="35"/>
      <c r="K131" s="33">
        <v>10000</v>
      </c>
      <c r="L131" s="19"/>
    </row>
    <row r="132" spans="1:18" ht="24.75" hidden="1" customHeight="1" x14ac:dyDescent="0.15">
      <c r="A132" s="18"/>
      <c r="B132" s="69" t="str">
        <f t="shared" si="1"/>
        <v>01/2026</v>
      </c>
      <c r="C132" s="9">
        <v>46043</v>
      </c>
      <c r="D132" s="8" t="s">
        <v>183</v>
      </c>
      <c r="E132" s="46" t="s">
        <v>313</v>
      </c>
      <c r="F132" s="46" t="s">
        <v>333</v>
      </c>
      <c r="G132" s="4" t="s">
        <v>96</v>
      </c>
      <c r="H132" s="46" t="s">
        <v>362</v>
      </c>
      <c r="I132" s="56" t="s">
        <v>25</v>
      </c>
      <c r="J132" s="34"/>
      <c r="K132" s="33">
        <v>2298.02</v>
      </c>
      <c r="L132" s="19"/>
    </row>
    <row r="133" spans="1:18" ht="24.75" hidden="1" customHeight="1" x14ac:dyDescent="0.15">
      <c r="A133" s="18"/>
      <c r="B133" s="69" t="str">
        <f t="shared" ref="B133:B196" si="2">TEXT(C133,"mm/aaaa")</f>
        <v>01/2026</v>
      </c>
      <c r="C133" s="9">
        <v>46043</v>
      </c>
      <c r="D133" s="47" t="s">
        <v>183</v>
      </c>
      <c r="E133" s="46" t="s">
        <v>313</v>
      </c>
      <c r="F133" s="46" t="s">
        <v>333</v>
      </c>
      <c r="G133" s="4" t="s">
        <v>96</v>
      </c>
      <c r="H133" s="46" t="s">
        <v>362</v>
      </c>
      <c r="I133" s="56" t="s">
        <v>25</v>
      </c>
      <c r="J133" s="34"/>
      <c r="K133" s="32">
        <v>108.39</v>
      </c>
      <c r="L133" s="19"/>
    </row>
    <row r="134" spans="1:18" ht="24.75" hidden="1" customHeight="1" x14ac:dyDescent="0.15">
      <c r="A134" s="18"/>
      <c r="B134" s="69" t="str">
        <f t="shared" si="2"/>
        <v>01/2026</v>
      </c>
      <c r="C134" s="9">
        <v>46043</v>
      </c>
      <c r="D134" s="47" t="s">
        <v>69</v>
      </c>
      <c r="E134" s="46" t="s">
        <v>317</v>
      </c>
      <c r="F134" s="46" t="s">
        <v>128</v>
      </c>
      <c r="G134" s="4" t="s">
        <v>214</v>
      </c>
      <c r="H134" s="46" t="s">
        <v>24</v>
      </c>
      <c r="I134" s="56" t="s">
        <v>25</v>
      </c>
      <c r="J134" s="34"/>
      <c r="K134" s="33">
        <v>104.63</v>
      </c>
      <c r="L134" s="19"/>
    </row>
    <row r="135" spans="1:18" ht="24.75" hidden="1" customHeight="1" x14ac:dyDescent="0.15">
      <c r="A135" s="18"/>
      <c r="B135" s="69" t="str">
        <f t="shared" si="2"/>
        <v>01/2026</v>
      </c>
      <c r="C135" s="9">
        <v>46043</v>
      </c>
      <c r="D135" s="47" t="s">
        <v>69</v>
      </c>
      <c r="E135" s="46" t="s">
        <v>317</v>
      </c>
      <c r="F135" s="46" t="s">
        <v>128</v>
      </c>
      <c r="G135" s="4" t="s">
        <v>213</v>
      </c>
      <c r="H135" s="37" t="s">
        <v>24</v>
      </c>
      <c r="I135" s="56" t="s">
        <v>25</v>
      </c>
      <c r="J135" s="34"/>
      <c r="K135" s="33">
        <v>114.12</v>
      </c>
      <c r="L135" s="19"/>
    </row>
    <row r="136" spans="1:18" ht="24.75" hidden="1" customHeight="1" x14ac:dyDescent="0.15">
      <c r="A136" s="18"/>
      <c r="B136" s="69" t="str">
        <f t="shared" si="2"/>
        <v>01/2026</v>
      </c>
      <c r="C136" s="9">
        <v>46043</v>
      </c>
      <c r="D136" s="47" t="s">
        <v>68</v>
      </c>
      <c r="E136" s="46" t="s">
        <v>311</v>
      </c>
      <c r="F136" s="46" t="s">
        <v>312</v>
      </c>
      <c r="G136" s="4" t="s">
        <v>284</v>
      </c>
      <c r="H136" s="37" t="s">
        <v>363</v>
      </c>
      <c r="I136" s="56" t="s">
        <v>25</v>
      </c>
      <c r="J136" s="35"/>
      <c r="K136" s="32">
        <v>1630.2</v>
      </c>
      <c r="L136" s="19"/>
    </row>
    <row r="137" spans="1:18" ht="24.75" hidden="1" customHeight="1" x14ac:dyDescent="0.15">
      <c r="A137" s="18"/>
      <c r="B137" s="69" t="str">
        <f t="shared" si="2"/>
        <v>01/2026</v>
      </c>
      <c r="C137" s="9">
        <v>46043</v>
      </c>
      <c r="D137" s="47" t="s">
        <v>68</v>
      </c>
      <c r="E137" s="46" t="s">
        <v>311</v>
      </c>
      <c r="F137" s="46" t="s">
        <v>312</v>
      </c>
      <c r="G137" s="4" t="s">
        <v>248</v>
      </c>
      <c r="H137" s="37" t="s">
        <v>363</v>
      </c>
      <c r="I137" s="56" t="s">
        <v>25</v>
      </c>
      <c r="J137" s="35"/>
      <c r="K137" s="32">
        <v>2573.11</v>
      </c>
      <c r="L137" s="19"/>
    </row>
    <row r="138" spans="1:18" ht="24.75" hidden="1" customHeight="1" x14ac:dyDescent="0.15">
      <c r="A138" s="18"/>
      <c r="B138" s="69" t="str">
        <f t="shared" si="2"/>
        <v>01/2026</v>
      </c>
      <c r="C138" s="9">
        <v>46043</v>
      </c>
      <c r="D138" s="8" t="s">
        <v>68</v>
      </c>
      <c r="E138" s="46" t="s">
        <v>311</v>
      </c>
      <c r="F138" s="46" t="s">
        <v>312</v>
      </c>
      <c r="G138" s="4" t="s">
        <v>285</v>
      </c>
      <c r="H138" s="37" t="s">
        <v>363</v>
      </c>
      <c r="I138" s="56" t="s">
        <v>25</v>
      </c>
      <c r="J138" s="34"/>
      <c r="K138" s="32">
        <v>457.52</v>
      </c>
      <c r="L138" s="19"/>
      <c r="N138" s="57"/>
      <c r="O138" s="57"/>
      <c r="P138" s="57"/>
      <c r="Q138" s="57"/>
      <c r="R138" s="57"/>
    </row>
    <row r="139" spans="1:18" ht="24.75" hidden="1" customHeight="1" x14ac:dyDescent="0.15">
      <c r="A139" s="18"/>
      <c r="B139" s="69" t="str">
        <f t="shared" si="2"/>
        <v>01/2026</v>
      </c>
      <c r="C139" s="9">
        <v>46043</v>
      </c>
      <c r="D139" s="47" t="s">
        <v>28</v>
      </c>
      <c r="E139" s="46" t="s">
        <v>313</v>
      </c>
      <c r="F139" s="46" t="s">
        <v>111</v>
      </c>
      <c r="G139" s="4" t="s">
        <v>29</v>
      </c>
      <c r="H139" s="46" t="s">
        <v>362</v>
      </c>
      <c r="I139" s="56" t="s">
        <v>25</v>
      </c>
      <c r="J139" s="34"/>
      <c r="K139" s="32">
        <v>2040.8</v>
      </c>
      <c r="L139" s="19"/>
    </row>
    <row r="140" spans="1:18" ht="24.75" hidden="1" customHeight="1" x14ac:dyDescent="0.15">
      <c r="A140" s="18"/>
      <c r="B140" s="69" t="str">
        <f t="shared" si="2"/>
        <v>01/2026</v>
      </c>
      <c r="C140" s="9">
        <v>46043</v>
      </c>
      <c r="D140" s="47" t="s">
        <v>254</v>
      </c>
      <c r="E140" s="46" t="s">
        <v>313</v>
      </c>
      <c r="F140" s="46" t="s">
        <v>30</v>
      </c>
      <c r="G140" s="4" t="s">
        <v>6</v>
      </c>
      <c r="H140" s="37" t="s">
        <v>24</v>
      </c>
      <c r="I140" s="56" t="s">
        <v>25</v>
      </c>
      <c r="J140" s="34"/>
      <c r="K140" s="33">
        <v>5000</v>
      </c>
      <c r="L140" s="19"/>
    </row>
    <row r="141" spans="1:18" ht="24.75" hidden="1" customHeight="1" x14ac:dyDescent="0.15">
      <c r="A141" s="18"/>
      <c r="B141" s="69" t="str">
        <f t="shared" si="2"/>
        <v>01/2026</v>
      </c>
      <c r="C141" s="9">
        <v>46043</v>
      </c>
      <c r="D141" s="47" t="s">
        <v>112</v>
      </c>
      <c r="E141" s="46" t="s">
        <v>314</v>
      </c>
      <c r="F141" s="46" t="s">
        <v>346</v>
      </c>
      <c r="G141" s="4" t="s">
        <v>190</v>
      </c>
      <c r="H141" s="37" t="s">
        <v>24</v>
      </c>
      <c r="I141" s="56" t="s">
        <v>25</v>
      </c>
      <c r="J141" s="35"/>
      <c r="K141" s="32">
        <v>2572.44</v>
      </c>
      <c r="L141" s="19"/>
    </row>
    <row r="142" spans="1:18" ht="24.75" hidden="1" customHeight="1" x14ac:dyDescent="0.15">
      <c r="A142" s="18"/>
      <c r="B142" s="69" t="str">
        <f t="shared" si="2"/>
        <v>01/2026</v>
      </c>
      <c r="C142" s="9">
        <v>46043</v>
      </c>
      <c r="D142" s="8" t="s">
        <v>112</v>
      </c>
      <c r="E142" s="46" t="s">
        <v>314</v>
      </c>
      <c r="F142" s="46" t="s">
        <v>346</v>
      </c>
      <c r="G142" s="4" t="s">
        <v>182</v>
      </c>
      <c r="H142" s="46" t="s">
        <v>24</v>
      </c>
      <c r="I142" s="56" t="s">
        <v>25</v>
      </c>
      <c r="J142" s="35"/>
      <c r="K142" s="33">
        <v>1200</v>
      </c>
      <c r="L142" s="19"/>
    </row>
    <row r="143" spans="1:18" ht="24.75" hidden="1" customHeight="1" x14ac:dyDescent="0.15">
      <c r="A143" s="18"/>
      <c r="B143" s="69" t="str">
        <f t="shared" si="2"/>
        <v>01/2026</v>
      </c>
      <c r="C143" s="9">
        <v>46043</v>
      </c>
      <c r="D143" s="47" t="s">
        <v>112</v>
      </c>
      <c r="E143" s="46" t="s">
        <v>314</v>
      </c>
      <c r="F143" s="46" t="s">
        <v>346</v>
      </c>
      <c r="G143" s="4" t="s">
        <v>181</v>
      </c>
      <c r="H143" s="46" t="s">
        <v>24</v>
      </c>
      <c r="I143" s="56" t="s">
        <v>25</v>
      </c>
      <c r="J143" s="35"/>
      <c r="K143" s="32">
        <v>100.48</v>
      </c>
      <c r="L143" s="19"/>
    </row>
    <row r="144" spans="1:18" ht="24.75" hidden="1" customHeight="1" x14ac:dyDescent="0.15">
      <c r="A144" s="18"/>
      <c r="B144" s="69" t="str">
        <f t="shared" si="2"/>
        <v>01/2026</v>
      </c>
      <c r="C144" s="9">
        <v>46043</v>
      </c>
      <c r="D144" s="8" t="s">
        <v>39</v>
      </c>
      <c r="E144" s="46" t="s">
        <v>324</v>
      </c>
      <c r="F144" s="46" t="s">
        <v>325</v>
      </c>
      <c r="G144" s="4" t="s">
        <v>239</v>
      </c>
      <c r="H144" s="46" t="s">
        <v>24</v>
      </c>
      <c r="I144" s="56" t="s">
        <v>25</v>
      </c>
      <c r="J144" s="34"/>
      <c r="K144" s="33">
        <v>8807.9699999999993</v>
      </c>
      <c r="L144" s="19"/>
    </row>
    <row r="145" spans="1:12" ht="24.75" hidden="1" customHeight="1" x14ac:dyDescent="0.15">
      <c r="A145" s="18"/>
      <c r="B145" s="69" t="str">
        <f t="shared" si="2"/>
        <v>01/2026</v>
      </c>
      <c r="C145" s="9">
        <v>46043</v>
      </c>
      <c r="D145" s="47" t="s">
        <v>39</v>
      </c>
      <c r="E145" s="46" t="s">
        <v>324</v>
      </c>
      <c r="F145" s="46" t="s">
        <v>325</v>
      </c>
      <c r="G145" s="4" t="s">
        <v>240</v>
      </c>
      <c r="H145" s="46" t="s">
        <v>24</v>
      </c>
      <c r="I145" s="56" t="s">
        <v>25</v>
      </c>
      <c r="J145" s="34"/>
      <c r="K145" s="33">
        <v>10343.950000000001</v>
      </c>
      <c r="L145" s="19"/>
    </row>
    <row r="146" spans="1:12" ht="24.75" hidden="1" customHeight="1" x14ac:dyDescent="0.15">
      <c r="A146" s="18"/>
      <c r="B146" s="69" t="str">
        <f t="shared" si="2"/>
        <v>01/2026</v>
      </c>
      <c r="C146" s="9">
        <v>46043</v>
      </c>
      <c r="D146" s="47" t="s">
        <v>39</v>
      </c>
      <c r="E146" s="46" t="s">
        <v>324</v>
      </c>
      <c r="F146" s="46" t="s">
        <v>325</v>
      </c>
      <c r="G146" s="4" t="s">
        <v>242</v>
      </c>
      <c r="H146" s="46" t="s">
        <v>24</v>
      </c>
      <c r="I146" s="56" t="s">
        <v>25</v>
      </c>
      <c r="J146" s="34"/>
      <c r="K146" s="32">
        <v>32759.26</v>
      </c>
      <c r="L146" s="19"/>
    </row>
    <row r="147" spans="1:12" ht="24.75" hidden="1" customHeight="1" x14ac:dyDescent="0.15">
      <c r="A147" s="18"/>
      <c r="B147" s="69" t="str">
        <f t="shared" si="2"/>
        <v>01/2026</v>
      </c>
      <c r="C147" s="9">
        <v>46043</v>
      </c>
      <c r="D147" s="47" t="s">
        <v>67</v>
      </c>
      <c r="E147" s="46" t="s">
        <v>310</v>
      </c>
      <c r="F147" s="46" t="s">
        <v>300</v>
      </c>
      <c r="G147" s="4" t="s">
        <v>284</v>
      </c>
      <c r="H147" s="37" t="s">
        <v>363</v>
      </c>
      <c r="I147" s="56" t="s">
        <v>25</v>
      </c>
      <c r="J147" s="35"/>
      <c r="K147" s="33">
        <v>4338.97</v>
      </c>
      <c r="L147" s="19"/>
    </row>
    <row r="148" spans="1:12" ht="24.75" hidden="1" customHeight="1" x14ac:dyDescent="0.15">
      <c r="A148" s="18"/>
      <c r="B148" s="69" t="str">
        <f t="shared" si="2"/>
        <v>01/2026</v>
      </c>
      <c r="C148" s="9">
        <v>46043</v>
      </c>
      <c r="D148" s="47" t="s">
        <v>67</v>
      </c>
      <c r="E148" s="46" t="s">
        <v>310</v>
      </c>
      <c r="F148" s="46" t="s">
        <v>300</v>
      </c>
      <c r="G148" s="4" t="s">
        <v>248</v>
      </c>
      <c r="H148" s="37" t="s">
        <v>363</v>
      </c>
      <c r="I148" s="56" t="s">
        <v>25</v>
      </c>
      <c r="J148" s="34"/>
      <c r="K148" s="33">
        <v>14190.55</v>
      </c>
      <c r="L148" s="19"/>
    </row>
    <row r="149" spans="1:12" ht="24.75" hidden="1" customHeight="1" x14ac:dyDescent="0.15">
      <c r="A149" s="18"/>
      <c r="B149" s="69" t="str">
        <f t="shared" si="2"/>
        <v>01/2026</v>
      </c>
      <c r="C149" s="9">
        <v>46043</v>
      </c>
      <c r="D149" s="8" t="s">
        <v>67</v>
      </c>
      <c r="E149" s="46" t="s">
        <v>310</v>
      </c>
      <c r="F149" s="4" t="s">
        <v>300</v>
      </c>
      <c r="G149" s="4" t="s">
        <v>285</v>
      </c>
      <c r="H149" s="37" t="s">
        <v>363</v>
      </c>
      <c r="I149" s="56" t="s">
        <v>25</v>
      </c>
      <c r="J149" s="34"/>
      <c r="K149" s="32">
        <v>1570.2</v>
      </c>
      <c r="L149" s="19"/>
    </row>
    <row r="150" spans="1:12" ht="24.75" hidden="1" customHeight="1" x14ac:dyDescent="0.15">
      <c r="A150" s="18"/>
      <c r="B150" s="69" t="str">
        <f t="shared" si="2"/>
        <v>01/2026</v>
      </c>
      <c r="C150" s="9">
        <v>46043</v>
      </c>
      <c r="D150" s="8" t="s">
        <v>172</v>
      </c>
      <c r="E150" s="46" t="s">
        <v>339</v>
      </c>
      <c r="F150" s="46" t="s">
        <v>342</v>
      </c>
      <c r="G150" s="4" t="s">
        <v>173</v>
      </c>
      <c r="H150" s="37" t="s">
        <v>365</v>
      </c>
      <c r="I150" s="56" t="s">
        <v>25</v>
      </c>
      <c r="J150" s="34"/>
      <c r="K150" s="33">
        <v>9964.31</v>
      </c>
      <c r="L150" s="19"/>
    </row>
    <row r="151" spans="1:12" ht="24.75" hidden="1" customHeight="1" x14ac:dyDescent="0.15">
      <c r="A151" s="18"/>
      <c r="B151" s="69" t="str">
        <f t="shared" si="2"/>
        <v>01/2026</v>
      </c>
      <c r="C151" s="9">
        <v>46043</v>
      </c>
      <c r="D151" s="8" t="s">
        <v>172</v>
      </c>
      <c r="E151" s="46" t="s">
        <v>339</v>
      </c>
      <c r="F151" s="46" t="s">
        <v>342</v>
      </c>
      <c r="G151" s="4" t="s">
        <v>174</v>
      </c>
      <c r="H151" s="37" t="s">
        <v>365</v>
      </c>
      <c r="I151" s="56" t="s">
        <v>25</v>
      </c>
      <c r="J151" s="34"/>
      <c r="K151" s="33">
        <v>9004.4599999999991</v>
      </c>
      <c r="L151" s="19"/>
    </row>
    <row r="152" spans="1:12" ht="24.75" hidden="1" customHeight="1" x14ac:dyDescent="0.15">
      <c r="A152" s="18"/>
      <c r="B152" s="69" t="str">
        <f t="shared" si="2"/>
        <v>01/2026</v>
      </c>
      <c r="C152" s="9">
        <v>46043</v>
      </c>
      <c r="D152" s="8" t="s">
        <v>69</v>
      </c>
      <c r="E152" s="46" t="s">
        <v>339</v>
      </c>
      <c r="F152" s="46" t="s">
        <v>342</v>
      </c>
      <c r="G152" s="4" t="s">
        <v>77</v>
      </c>
      <c r="H152" s="37" t="s">
        <v>365</v>
      </c>
      <c r="I152" s="56" t="s">
        <v>25</v>
      </c>
      <c r="J152" s="34"/>
      <c r="K152" s="32">
        <v>837.59</v>
      </c>
      <c r="L152" s="19"/>
    </row>
    <row r="153" spans="1:12" ht="24.75" hidden="1" customHeight="1" x14ac:dyDescent="0.15">
      <c r="A153" s="18"/>
      <c r="B153" s="69" t="str">
        <f t="shared" si="2"/>
        <v>01/2026</v>
      </c>
      <c r="C153" s="9">
        <v>46043</v>
      </c>
      <c r="D153" s="47" t="s">
        <v>282</v>
      </c>
      <c r="E153" s="46" t="s">
        <v>310</v>
      </c>
      <c r="F153" s="46" t="s">
        <v>308</v>
      </c>
      <c r="G153" s="4" t="s">
        <v>348</v>
      </c>
      <c r="H153" s="46" t="s">
        <v>362</v>
      </c>
      <c r="I153" s="56" t="s">
        <v>25</v>
      </c>
      <c r="J153" s="34"/>
      <c r="K153" s="32">
        <v>724.36</v>
      </c>
      <c r="L153" s="19"/>
    </row>
    <row r="154" spans="1:12" ht="24.75" hidden="1" customHeight="1" x14ac:dyDescent="0.15">
      <c r="A154" s="18"/>
      <c r="B154" s="69" t="str">
        <f t="shared" si="2"/>
        <v>01/2026</v>
      </c>
      <c r="C154" s="9">
        <v>46043</v>
      </c>
      <c r="D154" s="47" t="s">
        <v>283</v>
      </c>
      <c r="E154" s="46" t="s">
        <v>310</v>
      </c>
      <c r="F154" s="46" t="s">
        <v>308</v>
      </c>
      <c r="G154" s="4" t="s">
        <v>348</v>
      </c>
      <c r="H154" s="46" t="s">
        <v>362</v>
      </c>
      <c r="I154" s="56" t="s">
        <v>25</v>
      </c>
      <c r="J154" s="34"/>
      <c r="K154" s="33">
        <v>186.66</v>
      </c>
      <c r="L154" s="19"/>
    </row>
    <row r="155" spans="1:12" ht="24.75" hidden="1" customHeight="1" x14ac:dyDescent="0.15">
      <c r="A155" s="18"/>
      <c r="B155" s="69" t="str">
        <f t="shared" si="2"/>
        <v>01/2026</v>
      </c>
      <c r="C155" s="9">
        <v>46043</v>
      </c>
      <c r="D155" s="47" t="s">
        <v>98</v>
      </c>
      <c r="E155" s="46" t="s">
        <v>324</v>
      </c>
      <c r="F155" s="46" t="s">
        <v>301</v>
      </c>
      <c r="G155" s="4" t="s">
        <v>222</v>
      </c>
      <c r="H155" s="37" t="s">
        <v>24</v>
      </c>
      <c r="I155" s="56" t="s">
        <v>25</v>
      </c>
      <c r="J155" s="35"/>
      <c r="K155" s="32">
        <v>54</v>
      </c>
      <c r="L155" s="19"/>
    </row>
    <row r="156" spans="1:12" ht="24.75" hidden="1" customHeight="1" x14ac:dyDescent="0.15">
      <c r="A156" s="18"/>
      <c r="B156" s="69" t="str">
        <f t="shared" si="2"/>
        <v>01/2026</v>
      </c>
      <c r="C156" s="9">
        <v>46043</v>
      </c>
      <c r="D156" s="47" t="s">
        <v>98</v>
      </c>
      <c r="E156" s="46" t="s">
        <v>324</v>
      </c>
      <c r="F156" s="46" t="s">
        <v>301</v>
      </c>
      <c r="G156" s="4" t="s">
        <v>222</v>
      </c>
      <c r="H156" s="37" t="s">
        <v>24</v>
      </c>
      <c r="I156" s="56" t="s">
        <v>25</v>
      </c>
      <c r="J156" s="35"/>
      <c r="K156" s="32">
        <v>42.35</v>
      </c>
      <c r="L156" s="19"/>
    </row>
    <row r="157" spans="1:12" ht="24.75" hidden="1" customHeight="1" x14ac:dyDescent="0.15">
      <c r="A157" s="18"/>
      <c r="B157" s="69" t="str">
        <f t="shared" si="2"/>
        <v>01/2026</v>
      </c>
      <c r="C157" s="9">
        <v>46043</v>
      </c>
      <c r="D157" s="47" t="s">
        <v>98</v>
      </c>
      <c r="E157" s="46" t="s">
        <v>324</v>
      </c>
      <c r="F157" s="46" t="s">
        <v>301</v>
      </c>
      <c r="G157" s="4" t="s">
        <v>222</v>
      </c>
      <c r="H157" s="37" t="s">
        <v>24</v>
      </c>
      <c r="I157" s="56" t="s">
        <v>25</v>
      </c>
      <c r="J157" s="35"/>
      <c r="K157" s="32">
        <v>32.5</v>
      </c>
      <c r="L157" s="19"/>
    </row>
    <row r="158" spans="1:12" ht="24.75" hidden="1" customHeight="1" x14ac:dyDescent="0.15">
      <c r="A158" s="18"/>
      <c r="B158" s="69" t="str">
        <f t="shared" si="2"/>
        <v>01/2026</v>
      </c>
      <c r="C158" s="9">
        <v>46043</v>
      </c>
      <c r="D158" s="47" t="s">
        <v>98</v>
      </c>
      <c r="E158" s="46" t="s">
        <v>324</v>
      </c>
      <c r="F158" s="4" t="s">
        <v>301</v>
      </c>
      <c r="G158" s="4" t="s">
        <v>222</v>
      </c>
      <c r="H158" s="37" t="s">
        <v>24</v>
      </c>
      <c r="I158" s="56" t="s">
        <v>25</v>
      </c>
      <c r="J158" s="35"/>
      <c r="K158" s="32">
        <v>227.5</v>
      </c>
      <c r="L158" s="19"/>
    </row>
    <row r="159" spans="1:12" ht="24.75" hidden="1" customHeight="1" x14ac:dyDescent="0.15">
      <c r="A159" s="18"/>
      <c r="B159" s="69" t="str">
        <f t="shared" si="2"/>
        <v>01/2026</v>
      </c>
      <c r="C159" s="9">
        <v>46043</v>
      </c>
      <c r="D159" s="47" t="s">
        <v>235</v>
      </c>
      <c r="E159" s="46" t="s">
        <v>339</v>
      </c>
      <c r="F159" s="46" t="s">
        <v>148</v>
      </c>
      <c r="G159" s="4" t="s">
        <v>119</v>
      </c>
      <c r="H159" s="46" t="s">
        <v>119</v>
      </c>
      <c r="I159" s="56" t="s">
        <v>25</v>
      </c>
      <c r="J159" s="35">
        <v>55000</v>
      </c>
      <c r="K159" s="33"/>
      <c r="L159" s="19"/>
    </row>
    <row r="160" spans="1:12" ht="24.75" hidden="1" customHeight="1" x14ac:dyDescent="0.15">
      <c r="A160" s="18"/>
      <c r="B160" s="69" t="str">
        <f t="shared" si="2"/>
        <v>01/2026</v>
      </c>
      <c r="C160" s="9">
        <v>46043</v>
      </c>
      <c r="D160" s="47" t="s">
        <v>224</v>
      </c>
      <c r="E160" s="46" t="s">
        <v>311</v>
      </c>
      <c r="F160" s="46" t="s">
        <v>319</v>
      </c>
      <c r="G160" s="4" t="s">
        <v>95</v>
      </c>
      <c r="H160" s="46" t="s">
        <v>367</v>
      </c>
      <c r="I160" s="56" t="s">
        <v>25</v>
      </c>
      <c r="J160" s="34"/>
      <c r="K160" s="33">
        <v>800</v>
      </c>
      <c r="L160" s="19"/>
    </row>
    <row r="161" spans="1:12" ht="24.75" hidden="1" customHeight="1" x14ac:dyDescent="0.15">
      <c r="A161" s="18"/>
      <c r="B161" s="69" t="str">
        <f t="shared" si="2"/>
        <v>01/2026</v>
      </c>
      <c r="C161" s="9">
        <v>46043</v>
      </c>
      <c r="D161" s="47" t="s">
        <v>78</v>
      </c>
      <c r="E161" s="46" t="s">
        <v>311</v>
      </c>
      <c r="F161" s="46" t="s">
        <v>145</v>
      </c>
      <c r="G161" s="4" t="s">
        <v>79</v>
      </c>
      <c r="H161" s="46" t="s">
        <v>367</v>
      </c>
      <c r="I161" s="56" t="s">
        <v>25</v>
      </c>
      <c r="J161" s="34"/>
      <c r="K161" s="33">
        <v>2072.1999999999998</v>
      </c>
      <c r="L161" s="19"/>
    </row>
    <row r="162" spans="1:12" ht="24.75" hidden="1" customHeight="1" x14ac:dyDescent="0.15">
      <c r="A162" s="18"/>
      <c r="B162" s="69" t="str">
        <f t="shared" si="2"/>
        <v>01/2026</v>
      </c>
      <c r="C162" s="9">
        <v>46044</v>
      </c>
      <c r="D162" s="47" t="s">
        <v>98</v>
      </c>
      <c r="E162" s="46" t="s">
        <v>324</v>
      </c>
      <c r="F162" s="46" t="s">
        <v>301</v>
      </c>
      <c r="G162" s="4" t="s">
        <v>222</v>
      </c>
      <c r="H162" s="37" t="s">
        <v>24</v>
      </c>
      <c r="I162" s="56" t="s">
        <v>25</v>
      </c>
      <c r="J162" s="35"/>
      <c r="K162" s="33">
        <v>54</v>
      </c>
      <c r="L162" s="19"/>
    </row>
    <row r="163" spans="1:12" ht="24.75" hidden="1" customHeight="1" x14ac:dyDescent="0.15">
      <c r="A163" s="18"/>
      <c r="B163" s="69" t="str">
        <f t="shared" si="2"/>
        <v>01/2026</v>
      </c>
      <c r="C163" s="9">
        <v>46044</v>
      </c>
      <c r="D163" s="47" t="s">
        <v>98</v>
      </c>
      <c r="E163" s="46" t="s">
        <v>324</v>
      </c>
      <c r="F163" s="46" t="s">
        <v>301</v>
      </c>
      <c r="G163" s="4" t="s">
        <v>222</v>
      </c>
      <c r="H163" s="37" t="s">
        <v>24</v>
      </c>
      <c r="I163" s="56" t="s">
        <v>25</v>
      </c>
      <c r="J163" s="34"/>
      <c r="K163" s="33">
        <v>27.96</v>
      </c>
      <c r="L163" s="19"/>
    </row>
    <row r="164" spans="1:12" ht="24.75" hidden="1" customHeight="1" x14ac:dyDescent="0.15">
      <c r="A164" s="18"/>
      <c r="B164" s="69" t="str">
        <f t="shared" si="2"/>
        <v>01/2026</v>
      </c>
      <c r="C164" s="9">
        <v>46044</v>
      </c>
      <c r="D164" s="47" t="s">
        <v>98</v>
      </c>
      <c r="E164" s="46" t="s">
        <v>324</v>
      </c>
      <c r="F164" s="46" t="s">
        <v>301</v>
      </c>
      <c r="G164" s="4" t="s">
        <v>222</v>
      </c>
      <c r="H164" s="37" t="s">
        <v>24</v>
      </c>
      <c r="I164" s="56" t="s">
        <v>25</v>
      </c>
      <c r="J164" s="35"/>
      <c r="K164" s="32">
        <v>2.6</v>
      </c>
      <c r="L164" s="19"/>
    </row>
    <row r="165" spans="1:12" ht="24.75" hidden="1" customHeight="1" x14ac:dyDescent="0.15">
      <c r="A165" s="18"/>
      <c r="B165" s="69" t="str">
        <f t="shared" si="2"/>
        <v>01/2026</v>
      </c>
      <c r="C165" s="9">
        <v>46044</v>
      </c>
      <c r="D165" s="47" t="s">
        <v>98</v>
      </c>
      <c r="E165" s="46" t="s">
        <v>324</v>
      </c>
      <c r="F165" s="46" t="s">
        <v>301</v>
      </c>
      <c r="G165" s="4" t="s">
        <v>222</v>
      </c>
      <c r="H165" s="37" t="s">
        <v>24</v>
      </c>
      <c r="I165" s="56" t="s">
        <v>25</v>
      </c>
      <c r="J165" s="34"/>
      <c r="K165" s="32">
        <v>6.5</v>
      </c>
      <c r="L165" s="19"/>
    </row>
    <row r="166" spans="1:12" ht="24.75" hidden="1" customHeight="1" x14ac:dyDescent="0.15">
      <c r="A166" s="18"/>
      <c r="B166" s="69" t="str">
        <f t="shared" si="2"/>
        <v>01/2026</v>
      </c>
      <c r="C166" s="9">
        <v>46044</v>
      </c>
      <c r="D166" s="8" t="s">
        <v>287</v>
      </c>
      <c r="E166" s="46" t="s">
        <v>317</v>
      </c>
      <c r="F166" s="46" t="s">
        <v>144</v>
      </c>
      <c r="G166" s="4" t="s">
        <v>288</v>
      </c>
      <c r="H166" s="46" t="s">
        <v>24</v>
      </c>
      <c r="I166" s="56" t="s">
        <v>25</v>
      </c>
      <c r="J166" s="34"/>
      <c r="K166" s="33">
        <v>257.8</v>
      </c>
      <c r="L166" s="19"/>
    </row>
    <row r="167" spans="1:12" ht="24.75" hidden="1" customHeight="1" x14ac:dyDescent="0.15">
      <c r="A167" s="18"/>
      <c r="B167" s="69" t="str">
        <f t="shared" si="2"/>
        <v>01/2026</v>
      </c>
      <c r="C167" s="9">
        <v>46045</v>
      </c>
      <c r="D167" s="47" t="s">
        <v>243</v>
      </c>
      <c r="E167" s="46" t="s">
        <v>339</v>
      </c>
      <c r="F167" s="46" t="s">
        <v>340</v>
      </c>
      <c r="G167" s="4" t="s">
        <v>206</v>
      </c>
      <c r="H167" s="46" t="s">
        <v>367</v>
      </c>
      <c r="I167" s="56" t="s">
        <v>25</v>
      </c>
      <c r="J167" s="34"/>
      <c r="K167" s="32">
        <v>120</v>
      </c>
      <c r="L167" s="19"/>
    </row>
    <row r="168" spans="1:12" ht="24.75" hidden="1" customHeight="1" x14ac:dyDescent="0.15">
      <c r="A168" s="18"/>
      <c r="B168" s="69" t="str">
        <f t="shared" si="2"/>
        <v>01/2026</v>
      </c>
      <c r="C168" s="9">
        <v>46045</v>
      </c>
      <c r="D168" s="47" t="s">
        <v>98</v>
      </c>
      <c r="E168" s="46" t="s">
        <v>324</v>
      </c>
      <c r="F168" s="46" t="s">
        <v>301</v>
      </c>
      <c r="G168" s="4" t="s">
        <v>222</v>
      </c>
      <c r="H168" s="37" t="s">
        <v>24</v>
      </c>
      <c r="I168" s="56" t="s">
        <v>25</v>
      </c>
      <c r="J168" s="34"/>
      <c r="K168" s="32">
        <v>3.85</v>
      </c>
      <c r="L168" s="19"/>
    </row>
    <row r="169" spans="1:12" ht="24.75" hidden="1" customHeight="1" x14ac:dyDescent="0.15">
      <c r="A169" s="18"/>
      <c r="B169" s="69" t="str">
        <f t="shared" si="2"/>
        <v>01/2026</v>
      </c>
      <c r="C169" s="9">
        <v>46045</v>
      </c>
      <c r="D169" s="47" t="s">
        <v>32</v>
      </c>
      <c r="E169" s="46" t="s">
        <v>311</v>
      </c>
      <c r="F169" s="46" t="s">
        <v>146</v>
      </c>
      <c r="G169" s="4" t="s">
        <v>38</v>
      </c>
      <c r="H169" s="46" t="s">
        <v>362</v>
      </c>
      <c r="I169" s="56" t="s">
        <v>25</v>
      </c>
      <c r="J169" s="34"/>
      <c r="K169" s="33">
        <v>0.01</v>
      </c>
      <c r="L169" s="19"/>
    </row>
    <row r="170" spans="1:12" ht="24.75" hidden="1" customHeight="1" x14ac:dyDescent="0.15">
      <c r="A170" s="18"/>
      <c r="B170" s="69" t="str">
        <f t="shared" si="2"/>
        <v>01/2026</v>
      </c>
      <c r="C170" s="9">
        <v>46045</v>
      </c>
      <c r="D170" s="47" t="s">
        <v>78</v>
      </c>
      <c r="E170" s="46" t="s">
        <v>311</v>
      </c>
      <c r="F170" s="4" t="s">
        <v>145</v>
      </c>
      <c r="G170" s="4" t="s">
        <v>79</v>
      </c>
      <c r="H170" s="46" t="s">
        <v>362</v>
      </c>
      <c r="I170" s="56" t="s">
        <v>25</v>
      </c>
      <c r="J170" s="34"/>
      <c r="K170" s="33">
        <v>144</v>
      </c>
      <c r="L170" s="19"/>
    </row>
    <row r="171" spans="1:12" ht="24.75" hidden="1" customHeight="1" x14ac:dyDescent="0.15">
      <c r="A171" s="18"/>
      <c r="B171" s="69" t="str">
        <f t="shared" si="2"/>
        <v>01/2026</v>
      </c>
      <c r="C171" s="9">
        <v>46048</v>
      </c>
      <c r="D171" s="8" t="s">
        <v>63</v>
      </c>
      <c r="E171" s="46" t="s">
        <v>339</v>
      </c>
      <c r="F171" s="46" t="s">
        <v>341</v>
      </c>
      <c r="G171" s="4" t="s">
        <v>119</v>
      </c>
      <c r="H171" s="37" t="s">
        <v>119</v>
      </c>
      <c r="I171" s="56" t="s">
        <v>25</v>
      </c>
      <c r="J171" s="34">
        <v>33000</v>
      </c>
      <c r="K171" s="32"/>
      <c r="L171" s="19"/>
    </row>
    <row r="172" spans="1:12" ht="24.75" hidden="1" customHeight="1" x14ac:dyDescent="0.15">
      <c r="A172" s="18"/>
      <c r="B172" s="69" t="str">
        <f t="shared" si="2"/>
        <v>01/2026</v>
      </c>
      <c r="C172" s="9">
        <v>46048</v>
      </c>
      <c r="D172" s="8" t="s">
        <v>198</v>
      </c>
      <c r="E172" s="46" t="s">
        <v>314</v>
      </c>
      <c r="F172" s="46" t="s">
        <v>86</v>
      </c>
      <c r="G172" s="4" t="s">
        <v>244</v>
      </c>
      <c r="H172" s="46" t="s">
        <v>24</v>
      </c>
      <c r="I172" s="56" t="s">
        <v>25</v>
      </c>
      <c r="J172" s="35"/>
      <c r="K172" s="32">
        <v>807.7</v>
      </c>
      <c r="L172" s="19"/>
    </row>
    <row r="173" spans="1:12" ht="24.75" hidden="1" customHeight="1" x14ac:dyDescent="0.15">
      <c r="A173" s="18"/>
      <c r="B173" s="69" t="str">
        <f t="shared" si="2"/>
        <v>01/2026</v>
      </c>
      <c r="C173" s="9">
        <v>46048</v>
      </c>
      <c r="D173" s="47" t="s">
        <v>98</v>
      </c>
      <c r="E173" s="46" t="s">
        <v>324</v>
      </c>
      <c r="F173" s="46" t="s">
        <v>301</v>
      </c>
      <c r="G173" s="4" t="s">
        <v>222</v>
      </c>
      <c r="H173" s="37" t="s">
        <v>24</v>
      </c>
      <c r="I173" s="56" t="s">
        <v>25</v>
      </c>
      <c r="J173" s="34"/>
      <c r="K173" s="32">
        <v>2.46</v>
      </c>
      <c r="L173" s="19"/>
    </row>
    <row r="174" spans="1:12" ht="24.75" hidden="1" customHeight="1" x14ac:dyDescent="0.15">
      <c r="A174" s="18"/>
      <c r="B174" s="69" t="str">
        <f t="shared" si="2"/>
        <v>01/2026</v>
      </c>
      <c r="C174" s="9">
        <v>46048</v>
      </c>
      <c r="D174" s="47" t="s">
        <v>235</v>
      </c>
      <c r="E174" s="46" t="s">
        <v>339</v>
      </c>
      <c r="F174" s="46" t="s">
        <v>148</v>
      </c>
      <c r="G174" s="4" t="s">
        <v>119</v>
      </c>
      <c r="H174" s="46" t="s">
        <v>119</v>
      </c>
      <c r="I174" s="56" t="s">
        <v>25</v>
      </c>
      <c r="J174" s="34">
        <v>8800</v>
      </c>
      <c r="K174" s="32"/>
      <c r="L174" s="19"/>
    </row>
    <row r="175" spans="1:12" ht="24.75" hidden="1" customHeight="1" x14ac:dyDescent="0.15">
      <c r="A175" s="18"/>
      <c r="B175" s="69" t="str">
        <f t="shared" si="2"/>
        <v>01/2026</v>
      </c>
      <c r="C175" s="9">
        <v>46049</v>
      </c>
      <c r="D175" s="47" t="s">
        <v>199</v>
      </c>
      <c r="E175" s="46" t="s">
        <v>317</v>
      </c>
      <c r="F175" s="46" t="s">
        <v>318</v>
      </c>
      <c r="G175" s="4" t="s">
        <v>211</v>
      </c>
      <c r="H175" s="46" t="s">
        <v>24</v>
      </c>
      <c r="I175" s="56" t="s">
        <v>25</v>
      </c>
      <c r="J175" s="34"/>
      <c r="K175" s="33">
        <v>2614.94</v>
      </c>
      <c r="L175" s="19"/>
    </row>
    <row r="176" spans="1:12" ht="24.75" hidden="1" customHeight="1" x14ac:dyDescent="0.15">
      <c r="A176" s="18"/>
      <c r="B176" s="69" t="str">
        <f t="shared" si="2"/>
        <v>01/2026</v>
      </c>
      <c r="C176" s="9">
        <v>46049</v>
      </c>
      <c r="D176" s="47" t="s">
        <v>199</v>
      </c>
      <c r="E176" s="46" t="s">
        <v>317</v>
      </c>
      <c r="F176" s="46" t="s">
        <v>318</v>
      </c>
      <c r="G176" s="4" t="s">
        <v>212</v>
      </c>
      <c r="H176" s="46" t="s">
        <v>24</v>
      </c>
      <c r="I176" s="56" t="s">
        <v>25</v>
      </c>
      <c r="J176" s="34"/>
      <c r="K176" s="32">
        <v>1020.66</v>
      </c>
      <c r="L176" s="19"/>
    </row>
    <row r="177" spans="1:12" ht="24.75" hidden="1" customHeight="1" x14ac:dyDescent="0.15">
      <c r="A177" s="18"/>
      <c r="B177" s="69" t="str">
        <f t="shared" si="2"/>
        <v>01/2026</v>
      </c>
      <c r="C177" s="9">
        <v>46049</v>
      </c>
      <c r="D177" s="47" t="s">
        <v>110</v>
      </c>
      <c r="E177" s="46" t="s">
        <v>310</v>
      </c>
      <c r="F177" s="46" t="s">
        <v>150</v>
      </c>
      <c r="G177" s="4" t="s">
        <v>232</v>
      </c>
      <c r="H177" s="46" t="s">
        <v>362</v>
      </c>
      <c r="I177" s="56" t="s">
        <v>25</v>
      </c>
      <c r="J177" s="35"/>
      <c r="K177" s="32">
        <v>5450.92</v>
      </c>
      <c r="L177" s="19"/>
    </row>
    <row r="178" spans="1:12" ht="24.75" hidden="1" customHeight="1" x14ac:dyDescent="0.15">
      <c r="A178" s="18"/>
      <c r="B178" s="69" t="str">
        <f t="shared" si="2"/>
        <v>01/2026</v>
      </c>
      <c r="C178" s="9">
        <v>46049</v>
      </c>
      <c r="D178" s="47" t="s">
        <v>68</v>
      </c>
      <c r="E178" s="46" t="s">
        <v>311</v>
      </c>
      <c r="F178" s="46" t="s">
        <v>312</v>
      </c>
      <c r="G178" s="4" t="s">
        <v>290</v>
      </c>
      <c r="H178" s="46" t="s">
        <v>363</v>
      </c>
      <c r="I178" s="56" t="s">
        <v>25</v>
      </c>
      <c r="J178" s="35"/>
      <c r="K178" s="32">
        <v>914.27</v>
      </c>
      <c r="L178" s="19"/>
    </row>
    <row r="179" spans="1:12" ht="24.75" hidden="1" customHeight="1" x14ac:dyDescent="0.15">
      <c r="A179" s="18"/>
      <c r="B179" s="69" t="str">
        <f t="shared" si="2"/>
        <v>01/2026</v>
      </c>
      <c r="C179" s="9">
        <v>46049</v>
      </c>
      <c r="D179" s="47" t="s">
        <v>68</v>
      </c>
      <c r="E179" s="46" t="s">
        <v>311</v>
      </c>
      <c r="F179" s="46" t="s">
        <v>312</v>
      </c>
      <c r="G179" s="4" t="s">
        <v>291</v>
      </c>
      <c r="H179" s="46" t="s">
        <v>363</v>
      </c>
      <c r="I179" s="56" t="s">
        <v>25</v>
      </c>
      <c r="J179" s="34"/>
      <c r="K179" s="32">
        <v>1160.98</v>
      </c>
      <c r="L179" s="19"/>
    </row>
    <row r="180" spans="1:12" ht="24.75" hidden="1" customHeight="1" x14ac:dyDescent="0.15">
      <c r="A180" s="18"/>
      <c r="B180" s="69" t="str">
        <f t="shared" si="2"/>
        <v>01/2026</v>
      </c>
      <c r="C180" s="9">
        <v>46049</v>
      </c>
      <c r="D180" s="8" t="s">
        <v>68</v>
      </c>
      <c r="E180" s="46" t="s">
        <v>311</v>
      </c>
      <c r="F180" s="46" t="s">
        <v>312</v>
      </c>
      <c r="G180" s="4" t="s">
        <v>292</v>
      </c>
      <c r="H180" s="46" t="s">
        <v>364</v>
      </c>
      <c r="I180" s="56" t="s">
        <v>25</v>
      </c>
      <c r="J180" s="35"/>
      <c r="K180" s="32">
        <v>2186.2600000000002</v>
      </c>
      <c r="L180" s="19"/>
    </row>
    <row r="181" spans="1:12" ht="24.75" hidden="1" customHeight="1" x14ac:dyDescent="0.15">
      <c r="A181" s="18"/>
      <c r="B181" s="69" t="str">
        <f t="shared" si="2"/>
        <v>01/2026</v>
      </c>
      <c r="C181" s="9">
        <v>46049</v>
      </c>
      <c r="D181" s="47" t="s">
        <v>289</v>
      </c>
      <c r="E181" s="46" t="s">
        <v>328</v>
      </c>
      <c r="F181" s="46" t="s">
        <v>329</v>
      </c>
      <c r="G181" s="4" t="s">
        <v>75</v>
      </c>
      <c r="H181" s="46" t="s">
        <v>24</v>
      </c>
      <c r="I181" s="56" t="s">
        <v>25</v>
      </c>
      <c r="J181" s="34"/>
      <c r="K181" s="33">
        <v>461.04</v>
      </c>
      <c r="L181" s="19"/>
    </row>
    <row r="182" spans="1:12" ht="24.75" hidden="1" customHeight="1" x14ac:dyDescent="0.15">
      <c r="A182" s="18"/>
      <c r="B182" s="69" t="str">
        <f t="shared" si="2"/>
        <v>01/2026</v>
      </c>
      <c r="C182" s="9">
        <v>46049</v>
      </c>
      <c r="D182" s="47" t="s">
        <v>112</v>
      </c>
      <c r="E182" s="46" t="s">
        <v>314</v>
      </c>
      <c r="F182" s="46" t="s">
        <v>346</v>
      </c>
      <c r="G182" s="4" t="s">
        <v>249</v>
      </c>
      <c r="H182" s="46" t="s">
        <v>24</v>
      </c>
      <c r="I182" s="56" t="s">
        <v>25</v>
      </c>
      <c r="J182" s="34"/>
      <c r="K182" s="33">
        <v>6624.09</v>
      </c>
      <c r="L182" s="19"/>
    </row>
    <row r="183" spans="1:12" ht="24.75" hidden="1" customHeight="1" x14ac:dyDescent="0.15">
      <c r="A183" s="18"/>
      <c r="B183" s="69" t="str">
        <f t="shared" si="2"/>
        <v>01/2026</v>
      </c>
      <c r="C183" s="9">
        <v>46049</v>
      </c>
      <c r="D183" s="8" t="s">
        <v>201</v>
      </c>
      <c r="E183" s="46" t="s">
        <v>313</v>
      </c>
      <c r="F183" s="46" t="s">
        <v>338</v>
      </c>
      <c r="G183" s="4" t="s">
        <v>94</v>
      </c>
      <c r="H183" s="46" t="s">
        <v>362</v>
      </c>
      <c r="I183" s="56" t="s">
        <v>25</v>
      </c>
      <c r="J183" s="35"/>
      <c r="K183" s="33">
        <v>6000</v>
      </c>
      <c r="L183" s="19"/>
    </row>
    <row r="184" spans="1:12" ht="24.75" hidden="1" customHeight="1" x14ac:dyDescent="0.15">
      <c r="A184" s="18"/>
      <c r="B184" s="69" t="str">
        <f t="shared" si="2"/>
        <v>01/2026</v>
      </c>
      <c r="C184" s="9">
        <v>46049</v>
      </c>
      <c r="D184" s="47" t="s">
        <v>67</v>
      </c>
      <c r="E184" s="46" t="s">
        <v>310</v>
      </c>
      <c r="F184" s="46" t="s">
        <v>300</v>
      </c>
      <c r="G184" s="4" t="s">
        <v>290</v>
      </c>
      <c r="H184" s="46" t="s">
        <v>363</v>
      </c>
      <c r="I184" s="56" t="s">
        <v>25</v>
      </c>
      <c r="J184" s="34"/>
      <c r="K184" s="33">
        <v>4695.9399999999996</v>
      </c>
      <c r="L184" s="19"/>
    </row>
    <row r="185" spans="1:12" ht="24.75" hidden="1" customHeight="1" x14ac:dyDescent="0.15">
      <c r="A185" s="18"/>
      <c r="B185" s="69" t="str">
        <f t="shared" si="2"/>
        <v>01/2026</v>
      </c>
      <c r="C185" s="9">
        <v>46049</v>
      </c>
      <c r="D185" s="47" t="s">
        <v>67</v>
      </c>
      <c r="E185" s="46" t="s">
        <v>310</v>
      </c>
      <c r="F185" s="46" t="s">
        <v>300</v>
      </c>
      <c r="G185" s="4" t="s">
        <v>291</v>
      </c>
      <c r="H185" s="46" t="s">
        <v>363</v>
      </c>
      <c r="I185" s="56" t="s">
        <v>25</v>
      </c>
      <c r="J185" s="34"/>
      <c r="K185" s="32">
        <v>5187.72</v>
      </c>
      <c r="L185" s="19"/>
    </row>
    <row r="186" spans="1:12" ht="24.75" hidden="1" customHeight="1" x14ac:dyDescent="0.15">
      <c r="A186" s="18"/>
      <c r="B186" s="69" t="str">
        <f t="shared" si="2"/>
        <v>01/2026</v>
      </c>
      <c r="C186" s="9">
        <v>46049</v>
      </c>
      <c r="D186" s="47" t="s">
        <v>67</v>
      </c>
      <c r="E186" s="46" t="s">
        <v>310</v>
      </c>
      <c r="F186" s="46" t="s">
        <v>300</v>
      </c>
      <c r="G186" s="4" t="s">
        <v>292</v>
      </c>
      <c r="H186" s="46" t="s">
        <v>364</v>
      </c>
      <c r="I186" s="56" t="s">
        <v>25</v>
      </c>
      <c r="J186" s="34"/>
      <c r="K186" s="32">
        <v>4756.58</v>
      </c>
      <c r="L186" s="19"/>
    </row>
    <row r="187" spans="1:12" ht="24.75" hidden="1" customHeight="1" x14ac:dyDescent="0.15">
      <c r="A187" s="18"/>
      <c r="B187" s="69" t="str">
        <f t="shared" si="2"/>
        <v>01/2026</v>
      </c>
      <c r="C187" s="9">
        <v>46049</v>
      </c>
      <c r="D187" s="47" t="s">
        <v>32</v>
      </c>
      <c r="E187" s="46" t="s">
        <v>311</v>
      </c>
      <c r="F187" s="46" t="s">
        <v>146</v>
      </c>
      <c r="G187" s="4" t="s">
        <v>38</v>
      </c>
      <c r="H187" s="46" t="s">
        <v>362</v>
      </c>
      <c r="I187" s="56" t="s">
        <v>25</v>
      </c>
      <c r="J187" s="34"/>
      <c r="K187" s="33">
        <v>0.02</v>
      </c>
      <c r="L187" s="19"/>
    </row>
    <row r="188" spans="1:12" ht="24.75" hidden="1" customHeight="1" x14ac:dyDescent="0.15">
      <c r="A188" s="18"/>
      <c r="B188" s="69" t="str">
        <f t="shared" si="2"/>
        <v>01/2026</v>
      </c>
      <c r="C188" s="9">
        <v>46049</v>
      </c>
      <c r="D188" s="47" t="s">
        <v>78</v>
      </c>
      <c r="E188" s="46" t="s">
        <v>311</v>
      </c>
      <c r="F188" s="46" t="s">
        <v>145</v>
      </c>
      <c r="G188" s="4" t="s">
        <v>79</v>
      </c>
      <c r="H188" s="46" t="s">
        <v>362</v>
      </c>
      <c r="I188" s="56" t="s">
        <v>25</v>
      </c>
      <c r="J188" s="34"/>
      <c r="K188" s="32">
        <v>239.4</v>
      </c>
      <c r="L188" s="19"/>
    </row>
    <row r="189" spans="1:12" ht="24.75" hidden="1" customHeight="1" x14ac:dyDescent="0.15">
      <c r="A189" s="18"/>
      <c r="B189" s="69" t="str">
        <f t="shared" si="2"/>
        <v>01/2026</v>
      </c>
      <c r="C189" s="9">
        <v>46050</v>
      </c>
      <c r="D189" s="8" t="s">
        <v>63</v>
      </c>
      <c r="E189" s="46" t="s">
        <v>339</v>
      </c>
      <c r="F189" s="46" t="s">
        <v>341</v>
      </c>
      <c r="G189" s="4" t="s">
        <v>119</v>
      </c>
      <c r="H189" s="37" t="s">
        <v>119</v>
      </c>
      <c r="I189" s="56" t="s">
        <v>25</v>
      </c>
      <c r="J189" s="34">
        <v>2000</v>
      </c>
      <c r="K189" s="32"/>
      <c r="L189" s="19"/>
    </row>
    <row r="190" spans="1:12" ht="24.75" hidden="1" customHeight="1" x14ac:dyDescent="0.15">
      <c r="A190" s="18"/>
      <c r="B190" s="69" t="str">
        <f t="shared" si="2"/>
        <v>01/2026</v>
      </c>
      <c r="C190" s="9">
        <v>46050</v>
      </c>
      <c r="D190" s="47" t="s">
        <v>237</v>
      </c>
      <c r="E190" s="46" t="s">
        <v>321</v>
      </c>
      <c r="F190" s="46" t="s">
        <v>322</v>
      </c>
      <c r="G190" s="4" t="s">
        <v>238</v>
      </c>
      <c r="H190" s="46" t="s">
        <v>24</v>
      </c>
      <c r="I190" s="56" t="s">
        <v>25</v>
      </c>
      <c r="J190" s="34"/>
      <c r="K190" s="32">
        <v>1060.05</v>
      </c>
      <c r="L190" s="19"/>
    </row>
    <row r="191" spans="1:12" ht="24.75" hidden="1" customHeight="1" x14ac:dyDescent="0.15">
      <c r="A191" s="18"/>
      <c r="B191" s="69" t="str">
        <f t="shared" si="2"/>
        <v>01/2026</v>
      </c>
      <c r="C191" s="9">
        <v>46050</v>
      </c>
      <c r="D191" s="47" t="s">
        <v>98</v>
      </c>
      <c r="E191" s="46" t="s">
        <v>324</v>
      </c>
      <c r="F191" s="46" t="s">
        <v>301</v>
      </c>
      <c r="G191" s="4" t="s">
        <v>222</v>
      </c>
      <c r="H191" s="37" t="s">
        <v>24</v>
      </c>
      <c r="I191" s="56" t="s">
        <v>25</v>
      </c>
      <c r="J191" s="34"/>
      <c r="K191" s="32">
        <v>20.61</v>
      </c>
      <c r="L191" s="19"/>
    </row>
    <row r="192" spans="1:12" ht="24.75" hidden="1" customHeight="1" x14ac:dyDescent="0.15">
      <c r="A192" s="18"/>
      <c r="B192" s="69" t="str">
        <f t="shared" si="2"/>
        <v>01/2026</v>
      </c>
      <c r="C192" s="9">
        <v>46051</v>
      </c>
      <c r="D192" s="8" t="s">
        <v>63</v>
      </c>
      <c r="E192" s="46" t="s">
        <v>339</v>
      </c>
      <c r="F192" s="46" t="s">
        <v>341</v>
      </c>
      <c r="G192" s="4" t="s">
        <v>119</v>
      </c>
      <c r="H192" s="37" t="s">
        <v>119</v>
      </c>
      <c r="I192" s="56" t="s">
        <v>25</v>
      </c>
      <c r="J192" s="35">
        <v>46000</v>
      </c>
      <c r="K192" s="32"/>
      <c r="L192" s="19"/>
    </row>
    <row r="193" spans="1:12" ht="24.75" hidden="1" customHeight="1" x14ac:dyDescent="0.15">
      <c r="A193" s="18"/>
      <c r="B193" s="69" t="str">
        <f t="shared" si="2"/>
        <v>01/2026</v>
      </c>
      <c r="C193" s="9">
        <v>46051</v>
      </c>
      <c r="D193" s="8" t="s">
        <v>63</v>
      </c>
      <c r="E193" s="46" t="s">
        <v>339</v>
      </c>
      <c r="F193" s="46" t="s">
        <v>341</v>
      </c>
      <c r="G193" s="4" t="s">
        <v>119</v>
      </c>
      <c r="H193" s="37" t="s">
        <v>119</v>
      </c>
      <c r="I193" s="56" t="s">
        <v>25</v>
      </c>
      <c r="J193" s="34">
        <v>18000</v>
      </c>
      <c r="K193" s="33"/>
      <c r="L193" s="19"/>
    </row>
    <row r="194" spans="1:12" ht="24.75" hidden="1" customHeight="1" x14ac:dyDescent="0.15">
      <c r="A194" s="18"/>
      <c r="B194" s="69" t="str">
        <f t="shared" si="2"/>
        <v>01/2026</v>
      </c>
      <c r="C194" s="9">
        <v>46051</v>
      </c>
      <c r="D194" s="47" t="s">
        <v>297</v>
      </c>
      <c r="E194" s="46" t="s">
        <v>317</v>
      </c>
      <c r="F194" s="46" t="s">
        <v>323</v>
      </c>
      <c r="G194" s="4" t="s">
        <v>296</v>
      </c>
      <c r="H194" s="46" t="s">
        <v>24</v>
      </c>
      <c r="I194" s="56" t="s">
        <v>25</v>
      </c>
      <c r="J194" s="34"/>
      <c r="K194" s="33">
        <v>59.07</v>
      </c>
      <c r="L194" s="19"/>
    </row>
    <row r="195" spans="1:12" ht="24.75" hidden="1" customHeight="1" x14ac:dyDescent="0.15">
      <c r="A195" s="18"/>
      <c r="B195" s="69" t="str">
        <f t="shared" si="2"/>
        <v>01/2026</v>
      </c>
      <c r="C195" s="9">
        <v>46051</v>
      </c>
      <c r="D195" s="47" t="s">
        <v>207</v>
      </c>
      <c r="E195" s="46" t="s">
        <v>311</v>
      </c>
      <c r="F195" s="46" t="s">
        <v>332</v>
      </c>
      <c r="G195" s="4" t="s">
        <v>54</v>
      </c>
      <c r="H195" s="37" t="s">
        <v>24</v>
      </c>
      <c r="I195" s="56" t="s">
        <v>25</v>
      </c>
      <c r="J195" s="34"/>
      <c r="K195" s="32">
        <v>1073.2</v>
      </c>
      <c r="L195" s="19"/>
    </row>
    <row r="196" spans="1:12" ht="24.75" hidden="1" customHeight="1" x14ac:dyDescent="0.15">
      <c r="A196" s="18"/>
      <c r="B196" s="69" t="str">
        <f t="shared" si="2"/>
        <v>01/2026</v>
      </c>
      <c r="C196" s="9">
        <v>46051</v>
      </c>
      <c r="D196" s="47" t="s">
        <v>68</v>
      </c>
      <c r="E196" s="46" t="s">
        <v>311</v>
      </c>
      <c r="F196" s="46" t="s">
        <v>312</v>
      </c>
      <c r="G196" s="4" t="s">
        <v>294</v>
      </c>
      <c r="H196" s="46" t="s">
        <v>364</v>
      </c>
      <c r="I196" s="56" t="s">
        <v>25</v>
      </c>
      <c r="J196" s="34"/>
      <c r="K196" s="33">
        <v>772.69</v>
      </c>
      <c r="L196" s="19"/>
    </row>
    <row r="197" spans="1:12" ht="24.75" hidden="1" customHeight="1" x14ac:dyDescent="0.15">
      <c r="A197" s="18"/>
      <c r="B197" s="69" t="str">
        <f t="shared" ref="B197:B260" si="3">TEXT(C197,"mm/aaaa")</f>
        <v>01/2026</v>
      </c>
      <c r="C197" s="9">
        <v>46051</v>
      </c>
      <c r="D197" s="47" t="s">
        <v>68</v>
      </c>
      <c r="E197" s="46" t="s">
        <v>311</v>
      </c>
      <c r="F197" s="46" t="s">
        <v>312</v>
      </c>
      <c r="G197" s="4" t="s">
        <v>295</v>
      </c>
      <c r="H197" s="46" t="s">
        <v>364</v>
      </c>
      <c r="I197" s="56" t="s">
        <v>25</v>
      </c>
      <c r="J197" s="34"/>
      <c r="K197" s="33">
        <v>445.63</v>
      </c>
      <c r="L197" s="19"/>
    </row>
    <row r="198" spans="1:12" ht="24.75" hidden="1" customHeight="1" x14ac:dyDescent="0.15">
      <c r="A198" s="18"/>
      <c r="B198" s="69" t="str">
        <f t="shared" si="3"/>
        <v>01/2026</v>
      </c>
      <c r="C198" s="9">
        <v>46051</v>
      </c>
      <c r="D198" s="8" t="s">
        <v>208</v>
      </c>
      <c r="E198" s="46" t="s">
        <v>317</v>
      </c>
      <c r="F198" s="46" t="s">
        <v>101</v>
      </c>
      <c r="G198" s="4" t="s">
        <v>101</v>
      </c>
      <c r="H198" s="37" t="s">
        <v>24</v>
      </c>
      <c r="I198" s="56" t="s">
        <v>25</v>
      </c>
      <c r="J198" s="35"/>
      <c r="K198" s="33">
        <v>258</v>
      </c>
      <c r="L198" s="19"/>
    </row>
    <row r="199" spans="1:12" ht="24.75" hidden="1" customHeight="1" x14ac:dyDescent="0.15">
      <c r="A199" s="18"/>
      <c r="B199" s="69" t="str">
        <f t="shared" si="3"/>
        <v>01/2026</v>
      </c>
      <c r="C199" s="9">
        <v>46051</v>
      </c>
      <c r="D199" s="47" t="s">
        <v>28</v>
      </c>
      <c r="E199" s="46" t="s">
        <v>313</v>
      </c>
      <c r="F199" s="46" t="s">
        <v>111</v>
      </c>
      <c r="G199" s="4" t="s">
        <v>29</v>
      </c>
      <c r="H199" s="46" t="s">
        <v>362</v>
      </c>
      <c r="I199" s="56" t="s">
        <v>25</v>
      </c>
      <c r="J199" s="34"/>
      <c r="K199" s="32">
        <v>1100</v>
      </c>
      <c r="L199" s="19"/>
    </row>
    <row r="200" spans="1:12" ht="24.75" hidden="1" customHeight="1" x14ac:dyDescent="0.15">
      <c r="A200" s="18"/>
      <c r="B200" s="69" t="str">
        <f t="shared" si="3"/>
        <v>01/2026</v>
      </c>
      <c r="C200" s="9">
        <v>46051</v>
      </c>
      <c r="D200" s="47" t="s">
        <v>216</v>
      </c>
      <c r="E200" s="46" t="s">
        <v>313</v>
      </c>
      <c r="F200" s="46" t="s">
        <v>111</v>
      </c>
      <c r="G200" s="4" t="s">
        <v>217</v>
      </c>
      <c r="H200" s="46" t="s">
        <v>363</v>
      </c>
      <c r="I200" s="56" t="s">
        <v>25</v>
      </c>
      <c r="J200" s="34"/>
      <c r="K200" s="33">
        <v>3000</v>
      </c>
      <c r="L200" s="19"/>
    </row>
    <row r="201" spans="1:12" ht="24.75" hidden="1" customHeight="1" x14ac:dyDescent="0.15">
      <c r="A201" s="18"/>
      <c r="B201" s="69" t="str">
        <f t="shared" si="3"/>
        <v>01/2026</v>
      </c>
      <c r="C201" s="9">
        <v>46051</v>
      </c>
      <c r="D201" s="47" t="s">
        <v>202</v>
      </c>
      <c r="E201" s="46" t="s">
        <v>328</v>
      </c>
      <c r="F201" s="46" t="s">
        <v>329</v>
      </c>
      <c r="G201" s="4" t="s">
        <v>251</v>
      </c>
      <c r="H201" s="46" t="s">
        <v>24</v>
      </c>
      <c r="I201" s="56" t="s">
        <v>25</v>
      </c>
      <c r="J201" s="34"/>
      <c r="K201" s="32">
        <v>106.38</v>
      </c>
      <c r="L201" s="19"/>
    </row>
    <row r="202" spans="1:12" ht="24.75" hidden="1" customHeight="1" x14ac:dyDescent="0.15">
      <c r="A202" s="18"/>
      <c r="B202" s="69" t="str">
        <f t="shared" si="3"/>
        <v>01/2026</v>
      </c>
      <c r="C202" s="9">
        <v>46051</v>
      </c>
      <c r="D202" s="8" t="s">
        <v>202</v>
      </c>
      <c r="E202" s="46" t="s">
        <v>328</v>
      </c>
      <c r="F202" s="46" t="s">
        <v>329</v>
      </c>
      <c r="G202" s="4" t="s">
        <v>251</v>
      </c>
      <c r="H202" s="46" t="s">
        <v>24</v>
      </c>
      <c r="I202" s="56" t="s">
        <v>25</v>
      </c>
      <c r="J202" s="35"/>
      <c r="K202" s="32">
        <v>111.34</v>
      </c>
      <c r="L202" s="19"/>
    </row>
    <row r="203" spans="1:12" ht="24.75" hidden="1" customHeight="1" x14ac:dyDescent="0.15">
      <c r="A203" s="18"/>
      <c r="B203" s="69" t="str">
        <f t="shared" si="3"/>
        <v>01/2026</v>
      </c>
      <c r="C203" s="9">
        <v>46051</v>
      </c>
      <c r="D203" s="8" t="s">
        <v>202</v>
      </c>
      <c r="E203" s="46" t="s">
        <v>328</v>
      </c>
      <c r="F203" s="46" t="s">
        <v>329</v>
      </c>
      <c r="G203" s="4" t="s">
        <v>251</v>
      </c>
      <c r="H203" s="46" t="s">
        <v>24</v>
      </c>
      <c r="I203" s="56" t="s">
        <v>25</v>
      </c>
      <c r="J203" s="34"/>
      <c r="K203" s="33">
        <v>717.9</v>
      </c>
      <c r="L203" s="19"/>
    </row>
    <row r="204" spans="1:12" ht="24.75" hidden="1" customHeight="1" x14ac:dyDescent="0.15">
      <c r="A204" s="18"/>
      <c r="B204" s="69" t="str">
        <f t="shared" si="3"/>
        <v>01/2026</v>
      </c>
      <c r="C204" s="9">
        <v>46051</v>
      </c>
      <c r="D204" s="8" t="s">
        <v>202</v>
      </c>
      <c r="E204" s="46" t="s">
        <v>328</v>
      </c>
      <c r="F204" s="46" t="s">
        <v>329</v>
      </c>
      <c r="G204" s="4" t="s">
        <v>251</v>
      </c>
      <c r="H204" s="46" t="s">
        <v>24</v>
      </c>
      <c r="I204" s="56" t="s">
        <v>25</v>
      </c>
      <c r="J204" s="35"/>
      <c r="K204" s="33">
        <v>824.25</v>
      </c>
      <c r="L204" s="19"/>
    </row>
    <row r="205" spans="1:12" ht="24.75" hidden="1" customHeight="1" x14ac:dyDescent="0.15">
      <c r="A205" s="18"/>
      <c r="B205" s="69" t="str">
        <f t="shared" si="3"/>
        <v>01/2026</v>
      </c>
      <c r="C205" s="9">
        <v>46051</v>
      </c>
      <c r="D205" s="47" t="s">
        <v>202</v>
      </c>
      <c r="E205" s="46" t="s">
        <v>328</v>
      </c>
      <c r="F205" s="46" t="s">
        <v>329</v>
      </c>
      <c r="G205" s="4" t="s">
        <v>251</v>
      </c>
      <c r="H205" s="46" t="s">
        <v>24</v>
      </c>
      <c r="I205" s="56" t="s">
        <v>25</v>
      </c>
      <c r="J205" s="34"/>
      <c r="K205" s="32">
        <v>837.86</v>
      </c>
      <c r="L205" s="19"/>
    </row>
    <row r="206" spans="1:12" ht="24.75" hidden="1" customHeight="1" x14ac:dyDescent="0.15">
      <c r="A206" s="18"/>
      <c r="B206" s="69" t="str">
        <f t="shared" si="3"/>
        <v>01/2026</v>
      </c>
      <c r="C206" s="9">
        <v>46051</v>
      </c>
      <c r="D206" s="47" t="s">
        <v>202</v>
      </c>
      <c r="E206" s="46" t="s">
        <v>328</v>
      </c>
      <c r="F206" s="46" t="s">
        <v>329</v>
      </c>
      <c r="G206" s="4" t="s">
        <v>251</v>
      </c>
      <c r="H206" s="46" t="s">
        <v>24</v>
      </c>
      <c r="I206" s="56" t="s">
        <v>25</v>
      </c>
      <c r="J206" s="34"/>
      <c r="K206" s="33">
        <v>890.87</v>
      </c>
      <c r="L206" s="19"/>
    </row>
    <row r="207" spans="1:12" ht="24.75" hidden="1" customHeight="1" x14ac:dyDescent="0.15">
      <c r="A207" s="18"/>
      <c r="B207" s="69" t="str">
        <f t="shared" si="3"/>
        <v>01/2026</v>
      </c>
      <c r="C207" s="9">
        <v>46051</v>
      </c>
      <c r="D207" s="47" t="s">
        <v>202</v>
      </c>
      <c r="E207" s="46" t="s">
        <v>328</v>
      </c>
      <c r="F207" s="46" t="s">
        <v>329</v>
      </c>
      <c r="G207" s="4" t="s">
        <v>251</v>
      </c>
      <c r="H207" s="46" t="s">
        <v>24</v>
      </c>
      <c r="I207" s="56" t="s">
        <v>25</v>
      </c>
      <c r="J207" s="34"/>
      <c r="K207" s="33">
        <v>901.75</v>
      </c>
      <c r="L207" s="19"/>
    </row>
    <row r="208" spans="1:12" ht="24.75" hidden="1" customHeight="1" x14ac:dyDescent="0.15">
      <c r="A208" s="18"/>
      <c r="B208" s="69" t="str">
        <f t="shared" si="3"/>
        <v>01/2026</v>
      </c>
      <c r="C208" s="9">
        <v>46051</v>
      </c>
      <c r="D208" s="47" t="s">
        <v>202</v>
      </c>
      <c r="E208" s="46" t="s">
        <v>328</v>
      </c>
      <c r="F208" s="46" t="s">
        <v>329</v>
      </c>
      <c r="G208" s="4" t="s">
        <v>251</v>
      </c>
      <c r="H208" s="46" t="s">
        <v>24</v>
      </c>
      <c r="I208" s="56" t="s">
        <v>25</v>
      </c>
      <c r="J208" s="34"/>
      <c r="K208" s="33">
        <v>947.19</v>
      </c>
      <c r="L208" s="19"/>
    </row>
    <row r="209" spans="1:12" ht="24.75" hidden="1" customHeight="1" x14ac:dyDescent="0.15">
      <c r="A209" s="18"/>
      <c r="B209" s="69" t="str">
        <f t="shared" si="3"/>
        <v>01/2026</v>
      </c>
      <c r="C209" s="9">
        <v>46051</v>
      </c>
      <c r="D209" s="47" t="s">
        <v>202</v>
      </c>
      <c r="E209" s="46" t="s">
        <v>328</v>
      </c>
      <c r="F209" s="46" t="s">
        <v>329</v>
      </c>
      <c r="G209" s="4" t="s">
        <v>251</v>
      </c>
      <c r="H209" s="46" t="s">
        <v>24</v>
      </c>
      <c r="I209" s="56" t="s">
        <v>25</v>
      </c>
      <c r="J209" s="34"/>
      <c r="K209" s="32">
        <v>947.68</v>
      </c>
      <c r="L209" s="19"/>
    </row>
    <row r="210" spans="1:12" ht="24.75" hidden="1" customHeight="1" x14ac:dyDescent="0.15">
      <c r="A210" s="18"/>
      <c r="B210" s="69" t="str">
        <f t="shared" si="3"/>
        <v>01/2026</v>
      </c>
      <c r="C210" s="9">
        <v>46051</v>
      </c>
      <c r="D210" s="8" t="s">
        <v>202</v>
      </c>
      <c r="E210" s="46" t="s">
        <v>328</v>
      </c>
      <c r="F210" s="46" t="s">
        <v>329</v>
      </c>
      <c r="G210" s="4" t="s">
        <v>251</v>
      </c>
      <c r="H210" s="46" t="s">
        <v>24</v>
      </c>
      <c r="I210" s="56" t="s">
        <v>25</v>
      </c>
      <c r="J210" s="34"/>
      <c r="K210" s="33">
        <v>948.51</v>
      </c>
      <c r="L210" s="19"/>
    </row>
    <row r="211" spans="1:12" ht="24.75" hidden="1" customHeight="1" x14ac:dyDescent="0.15">
      <c r="A211" s="18"/>
      <c r="B211" s="69" t="str">
        <f t="shared" si="3"/>
        <v>01/2026</v>
      </c>
      <c r="C211" s="9">
        <v>46051</v>
      </c>
      <c r="D211" s="8" t="s">
        <v>202</v>
      </c>
      <c r="E211" s="46" t="s">
        <v>328</v>
      </c>
      <c r="F211" s="46" t="s">
        <v>329</v>
      </c>
      <c r="G211" s="4" t="s">
        <v>251</v>
      </c>
      <c r="H211" s="46" t="s">
        <v>24</v>
      </c>
      <c r="I211" s="56" t="s">
        <v>25</v>
      </c>
      <c r="J211" s="34"/>
      <c r="K211" s="33">
        <v>331.36</v>
      </c>
      <c r="L211" s="19"/>
    </row>
    <row r="212" spans="1:12" ht="24.75" hidden="1" customHeight="1" x14ac:dyDescent="0.15">
      <c r="A212" s="18"/>
      <c r="B212" s="69" t="str">
        <f t="shared" si="3"/>
        <v>01/2026</v>
      </c>
      <c r="C212" s="9">
        <v>46051</v>
      </c>
      <c r="D212" s="8" t="s">
        <v>202</v>
      </c>
      <c r="E212" s="46" t="s">
        <v>328</v>
      </c>
      <c r="F212" s="46" t="s">
        <v>329</v>
      </c>
      <c r="G212" s="4" t="s">
        <v>251</v>
      </c>
      <c r="H212" s="46" t="s">
        <v>24</v>
      </c>
      <c r="I212" s="56" t="s">
        <v>25</v>
      </c>
      <c r="J212" s="35"/>
      <c r="K212" s="33">
        <v>374.1</v>
      </c>
      <c r="L212" s="19"/>
    </row>
    <row r="213" spans="1:12" ht="24.75" hidden="1" customHeight="1" x14ac:dyDescent="0.15">
      <c r="A213" s="18"/>
      <c r="B213" s="69" t="str">
        <f t="shared" si="3"/>
        <v>01/2026</v>
      </c>
      <c r="C213" s="9">
        <v>46051</v>
      </c>
      <c r="D213" s="8" t="s">
        <v>202</v>
      </c>
      <c r="E213" s="46" t="s">
        <v>328</v>
      </c>
      <c r="F213" s="46" t="s">
        <v>329</v>
      </c>
      <c r="G213" s="4" t="s">
        <v>251</v>
      </c>
      <c r="H213" s="46" t="s">
        <v>24</v>
      </c>
      <c r="I213" s="56" t="s">
        <v>25</v>
      </c>
      <c r="J213" s="34"/>
      <c r="K213" s="33">
        <v>545.91999999999996</v>
      </c>
      <c r="L213" s="19"/>
    </row>
    <row r="214" spans="1:12" ht="24.75" hidden="1" customHeight="1" x14ac:dyDescent="0.15">
      <c r="A214" s="18"/>
      <c r="B214" s="69" t="str">
        <f t="shared" si="3"/>
        <v>01/2026</v>
      </c>
      <c r="C214" s="9">
        <v>46051</v>
      </c>
      <c r="D214" s="8" t="s">
        <v>202</v>
      </c>
      <c r="E214" s="46" t="s">
        <v>328</v>
      </c>
      <c r="F214" s="46" t="s">
        <v>329</v>
      </c>
      <c r="G214" s="4" t="s">
        <v>251</v>
      </c>
      <c r="H214" s="46" t="s">
        <v>24</v>
      </c>
      <c r="I214" s="56" t="s">
        <v>25</v>
      </c>
      <c r="J214" s="34"/>
      <c r="K214" s="32">
        <v>798.35</v>
      </c>
      <c r="L214" s="19"/>
    </row>
    <row r="215" spans="1:12" ht="24.75" hidden="1" customHeight="1" x14ac:dyDescent="0.15">
      <c r="A215" s="18"/>
      <c r="B215" s="69" t="str">
        <f t="shared" si="3"/>
        <v>01/2026</v>
      </c>
      <c r="C215" s="9">
        <v>46051</v>
      </c>
      <c r="D215" s="8" t="s">
        <v>202</v>
      </c>
      <c r="E215" s="46" t="s">
        <v>328</v>
      </c>
      <c r="F215" s="46" t="s">
        <v>329</v>
      </c>
      <c r="G215" s="4" t="s">
        <v>251</v>
      </c>
      <c r="H215" s="46" t="s">
        <v>24</v>
      </c>
      <c r="I215" s="56" t="s">
        <v>25</v>
      </c>
      <c r="J215" s="34"/>
      <c r="K215" s="33">
        <v>900.52</v>
      </c>
      <c r="L215" s="19"/>
    </row>
    <row r="216" spans="1:12" ht="24.75" hidden="1" customHeight="1" x14ac:dyDescent="0.15">
      <c r="A216" s="18"/>
      <c r="B216" s="69" t="str">
        <f t="shared" si="3"/>
        <v>01/2026</v>
      </c>
      <c r="C216" s="9">
        <v>46051</v>
      </c>
      <c r="D216" s="8" t="s">
        <v>202</v>
      </c>
      <c r="E216" s="46" t="s">
        <v>328</v>
      </c>
      <c r="F216" s="46" t="s">
        <v>329</v>
      </c>
      <c r="G216" s="4" t="s">
        <v>251</v>
      </c>
      <c r="H216" s="46" t="s">
        <v>24</v>
      </c>
      <c r="I216" s="56" t="s">
        <v>25</v>
      </c>
      <c r="J216" s="34"/>
      <c r="K216" s="33">
        <v>911.16</v>
      </c>
      <c r="L216" s="19"/>
    </row>
    <row r="217" spans="1:12" ht="24.75" hidden="1" customHeight="1" x14ac:dyDescent="0.15">
      <c r="A217" s="18"/>
      <c r="B217" s="69" t="str">
        <f t="shared" si="3"/>
        <v>01/2026</v>
      </c>
      <c r="C217" s="9">
        <v>46051</v>
      </c>
      <c r="D217" s="8" t="s">
        <v>202</v>
      </c>
      <c r="E217" s="46" t="s">
        <v>328</v>
      </c>
      <c r="F217" s="46" t="s">
        <v>329</v>
      </c>
      <c r="G217" s="4" t="s">
        <v>251</v>
      </c>
      <c r="H217" s="46" t="s">
        <v>24</v>
      </c>
      <c r="I217" s="56" t="s">
        <v>25</v>
      </c>
      <c r="J217" s="34"/>
      <c r="K217" s="33">
        <v>929.1</v>
      </c>
      <c r="L217" s="19"/>
    </row>
    <row r="218" spans="1:12" ht="24.75" hidden="1" customHeight="1" x14ac:dyDescent="0.15">
      <c r="A218" s="18"/>
      <c r="B218" s="69" t="str">
        <f t="shared" si="3"/>
        <v>01/2026</v>
      </c>
      <c r="C218" s="9">
        <v>46051</v>
      </c>
      <c r="D218" s="8" t="s">
        <v>202</v>
      </c>
      <c r="E218" s="46" t="s">
        <v>328</v>
      </c>
      <c r="F218" s="46" t="s">
        <v>329</v>
      </c>
      <c r="G218" s="4" t="s">
        <v>251</v>
      </c>
      <c r="H218" s="46" t="s">
        <v>24</v>
      </c>
      <c r="I218" s="56" t="s">
        <v>25</v>
      </c>
      <c r="J218" s="35"/>
      <c r="K218" s="33">
        <v>937.49</v>
      </c>
      <c r="L218" s="19"/>
    </row>
    <row r="219" spans="1:12" ht="24.75" hidden="1" customHeight="1" x14ac:dyDescent="0.15">
      <c r="A219" s="18"/>
      <c r="B219" s="69" t="str">
        <f t="shared" si="3"/>
        <v>01/2026</v>
      </c>
      <c r="C219" s="9">
        <v>46051</v>
      </c>
      <c r="D219" s="8" t="s">
        <v>202</v>
      </c>
      <c r="E219" s="46" t="s">
        <v>328</v>
      </c>
      <c r="F219" s="46" t="s">
        <v>329</v>
      </c>
      <c r="G219" s="4" t="s">
        <v>251</v>
      </c>
      <c r="H219" s="46" t="s">
        <v>24</v>
      </c>
      <c r="I219" s="56" t="s">
        <v>25</v>
      </c>
      <c r="J219" s="34"/>
      <c r="K219" s="33">
        <v>945.84</v>
      </c>
      <c r="L219" s="19"/>
    </row>
    <row r="220" spans="1:12" ht="24.75" hidden="1" customHeight="1" x14ac:dyDescent="0.15">
      <c r="A220" s="18"/>
      <c r="B220" s="69" t="str">
        <f t="shared" si="3"/>
        <v>01/2026</v>
      </c>
      <c r="C220" s="9">
        <v>46051</v>
      </c>
      <c r="D220" s="8" t="s">
        <v>202</v>
      </c>
      <c r="E220" s="46" t="s">
        <v>328</v>
      </c>
      <c r="F220" s="46" t="s">
        <v>329</v>
      </c>
      <c r="G220" s="4" t="s">
        <v>251</v>
      </c>
      <c r="H220" s="46" t="s">
        <v>24</v>
      </c>
      <c r="I220" s="56" t="s">
        <v>25</v>
      </c>
      <c r="J220" s="34"/>
      <c r="K220" s="33">
        <v>1529.54</v>
      </c>
      <c r="L220" s="19"/>
    </row>
    <row r="221" spans="1:12" ht="24.75" hidden="1" customHeight="1" x14ac:dyDescent="0.15">
      <c r="A221" s="18"/>
      <c r="B221" s="69" t="str">
        <f t="shared" si="3"/>
        <v>01/2026</v>
      </c>
      <c r="C221" s="9">
        <v>46051</v>
      </c>
      <c r="D221" s="8" t="s">
        <v>202</v>
      </c>
      <c r="E221" s="46" t="s">
        <v>328</v>
      </c>
      <c r="F221" s="46" t="s">
        <v>329</v>
      </c>
      <c r="G221" s="4" t="s">
        <v>251</v>
      </c>
      <c r="H221" s="46" t="s">
        <v>24</v>
      </c>
      <c r="I221" s="56" t="s">
        <v>25</v>
      </c>
      <c r="J221" s="34"/>
      <c r="K221" s="32">
        <v>446.05</v>
      </c>
      <c r="L221" s="19"/>
    </row>
    <row r="222" spans="1:12" ht="24.75" hidden="1" customHeight="1" x14ac:dyDescent="0.15">
      <c r="A222" s="18"/>
      <c r="B222" s="69" t="str">
        <f t="shared" si="3"/>
        <v>01/2026</v>
      </c>
      <c r="C222" s="9">
        <v>46051</v>
      </c>
      <c r="D222" s="8" t="s">
        <v>202</v>
      </c>
      <c r="E222" s="46" t="s">
        <v>328</v>
      </c>
      <c r="F222" s="46" t="s">
        <v>329</v>
      </c>
      <c r="G222" s="4" t="s">
        <v>251</v>
      </c>
      <c r="H222" s="46" t="s">
        <v>24</v>
      </c>
      <c r="I222" s="56" t="s">
        <v>25</v>
      </c>
      <c r="J222" s="34"/>
      <c r="K222" s="33">
        <v>474.22</v>
      </c>
      <c r="L222" s="19"/>
    </row>
    <row r="223" spans="1:12" ht="24.75" hidden="1" customHeight="1" x14ac:dyDescent="0.15">
      <c r="A223" s="18"/>
      <c r="B223" s="69" t="str">
        <f t="shared" si="3"/>
        <v>01/2026</v>
      </c>
      <c r="C223" s="9">
        <v>46051</v>
      </c>
      <c r="D223" s="8" t="s">
        <v>202</v>
      </c>
      <c r="E223" s="46" t="s">
        <v>328</v>
      </c>
      <c r="F223" s="46" t="s">
        <v>329</v>
      </c>
      <c r="G223" s="4" t="s">
        <v>251</v>
      </c>
      <c r="H223" s="46" t="s">
        <v>24</v>
      </c>
      <c r="I223" s="56" t="s">
        <v>25</v>
      </c>
      <c r="J223" s="34"/>
      <c r="K223" s="33">
        <v>509.2</v>
      </c>
      <c r="L223" s="19"/>
    </row>
    <row r="224" spans="1:12" ht="24.75" hidden="1" customHeight="1" x14ac:dyDescent="0.15">
      <c r="A224" s="18"/>
      <c r="B224" s="69" t="str">
        <f t="shared" si="3"/>
        <v>01/2026</v>
      </c>
      <c r="C224" s="9">
        <v>46051</v>
      </c>
      <c r="D224" s="8" t="s">
        <v>202</v>
      </c>
      <c r="E224" s="46" t="s">
        <v>328</v>
      </c>
      <c r="F224" s="46" t="s">
        <v>329</v>
      </c>
      <c r="G224" s="4" t="s">
        <v>251</v>
      </c>
      <c r="H224" s="46" t="s">
        <v>24</v>
      </c>
      <c r="I224" s="56" t="s">
        <v>25</v>
      </c>
      <c r="J224" s="34"/>
      <c r="K224" s="33">
        <v>514.91999999999996</v>
      </c>
      <c r="L224" s="19"/>
    </row>
    <row r="225" spans="1:12" ht="24.75" hidden="1" customHeight="1" x14ac:dyDescent="0.15">
      <c r="A225" s="18"/>
      <c r="B225" s="69" t="str">
        <f t="shared" si="3"/>
        <v>01/2026</v>
      </c>
      <c r="C225" s="9">
        <v>46051</v>
      </c>
      <c r="D225" s="8" t="s">
        <v>202</v>
      </c>
      <c r="E225" s="46" t="s">
        <v>328</v>
      </c>
      <c r="F225" s="46" t="s">
        <v>329</v>
      </c>
      <c r="G225" s="4" t="s">
        <v>251</v>
      </c>
      <c r="H225" s="46" t="s">
        <v>24</v>
      </c>
      <c r="I225" s="56" t="s">
        <v>25</v>
      </c>
      <c r="J225" s="34"/>
      <c r="K225" s="32">
        <v>538.98</v>
      </c>
      <c r="L225" s="19"/>
    </row>
    <row r="226" spans="1:12" ht="24.75" hidden="1" customHeight="1" x14ac:dyDescent="0.15">
      <c r="A226" s="18"/>
      <c r="B226" s="69" t="str">
        <f t="shared" si="3"/>
        <v>01/2026</v>
      </c>
      <c r="C226" s="9">
        <v>46051</v>
      </c>
      <c r="D226" s="8" t="s">
        <v>202</v>
      </c>
      <c r="E226" s="46" t="s">
        <v>328</v>
      </c>
      <c r="F226" s="46" t="s">
        <v>329</v>
      </c>
      <c r="G226" s="4" t="s">
        <v>251</v>
      </c>
      <c r="H226" s="46" t="s">
        <v>24</v>
      </c>
      <c r="I226" s="56" t="s">
        <v>25</v>
      </c>
      <c r="J226" s="35"/>
      <c r="K226" s="32">
        <v>646.80999999999995</v>
      </c>
      <c r="L226" s="19"/>
    </row>
    <row r="227" spans="1:12" ht="24.75" hidden="1" customHeight="1" x14ac:dyDescent="0.15">
      <c r="A227" s="18"/>
      <c r="B227" s="69" t="str">
        <f t="shared" si="3"/>
        <v>01/2026</v>
      </c>
      <c r="C227" s="9">
        <v>46051</v>
      </c>
      <c r="D227" s="8" t="s">
        <v>202</v>
      </c>
      <c r="E227" s="46" t="s">
        <v>328</v>
      </c>
      <c r="F227" s="46" t="s">
        <v>329</v>
      </c>
      <c r="G227" s="4" t="s">
        <v>251</v>
      </c>
      <c r="H227" s="46" t="s">
        <v>24</v>
      </c>
      <c r="I227" s="56" t="s">
        <v>25</v>
      </c>
      <c r="J227" s="34"/>
      <c r="K227" s="33">
        <v>802.02</v>
      </c>
      <c r="L227" s="19"/>
    </row>
    <row r="228" spans="1:12" ht="24.75" hidden="1" customHeight="1" x14ac:dyDescent="0.15">
      <c r="A228" s="18"/>
      <c r="B228" s="69" t="str">
        <f t="shared" si="3"/>
        <v>01/2026</v>
      </c>
      <c r="C228" s="9">
        <v>46051</v>
      </c>
      <c r="D228" s="8" t="s">
        <v>202</v>
      </c>
      <c r="E228" s="46" t="s">
        <v>328</v>
      </c>
      <c r="F228" s="46" t="s">
        <v>329</v>
      </c>
      <c r="G228" s="4" t="s">
        <v>251</v>
      </c>
      <c r="H228" s="46" t="s">
        <v>24</v>
      </c>
      <c r="I228" s="56" t="s">
        <v>25</v>
      </c>
      <c r="J228" s="35"/>
      <c r="K228" s="32">
        <v>829.69</v>
      </c>
      <c r="L228" s="19"/>
    </row>
    <row r="229" spans="1:12" ht="24.75" hidden="1" customHeight="1" x14ac:dyDescent="0.15">
      <c r="A229" s="18"/>
      <c r="B229" s="69" t="str">
        <f t="shared" si="3"/>
        <v>01/2026</v>
      </c>
      <c r="C229" s="9">
        <v>46051</v>
      </c>
      <c r="D229" s="8" t="s">
        <v>202</v>
      </c>
      <c r="E229" s="46" t="s">
        <v>328</v>
      </c>
      <c r="F229" s="46" t="s">
        <v>329</v>
      </c>
      <c r="G229" s="4" t="s">
        <v>251</v>
      </c>
      <c r="H229" s="46" t="s">
        <v>24</v>
      </c>
      <c r="I229" s="56" t="s">
        <v>25</v>
      </c>
      <c r="J229" s="34"/>
      <c r="K229" s="33">
        <v>833.1</v>
      </c>
      <c r="L229" s="19"/>
    </row>
    <row r="230" spans="1:12" ht="24.75" hidden="1" customHeight="1" x14ac:dyDescent="0.15">
      <c r="A230" s="18"/>
      <c r="B230" s="69" t="str">
        <f t="shared" si="3"/>
        <v>01/2026</v>
      </c>
      <c r="C230" s="9">
        <v>46051</v>
      </c>
      <c r="D230" s="8" t="s">
        <v>202</v>
      </c>
      <c r="E230" s="46" t="s">
        <v>328</v>
      </c>
      <c r="F230" s="46" t="s">
        <v>329</v>
      </c>
      <c r="G230" s="4" t="s">
        <v>251</v>
      </c>
      <c r="H230" s="46" t="s">
        <v>24</v>
      </c>
      <c r="I230" s="56" t="s">
        <v>25</v>
      </c>
      <c r="J230" s="34"/>
      <c r="K230" s="33">
        <v>934.13</v>
      </c>
      <c r="L230" s="19"/>
    </row>
    <row r="231" spans="1:12" ht="24.75" hidden="1" customHeight="1" x14ac:dyDescent="0.15">
      <c r="A231" s="18"/>
      <c r="B231" s="69" t="str">
        <f t="shared" si="3"/>
        <v>01/2026</v>
      </c>
      <c r="C231" s="9">
        <v>46051</v>
      </c>
      <c r="D231" s="8" t="s">
        <v>202</v>
      </c>
      <c r="E231" s="46" t="s">
        <v>328</v>
      </c>
      <c r="F231" s="46" t="s">
        <v>329</v>
      </c>
      <c r="G231" s="4" t="s">
        <v>251</v>
      </c>
      <c r="H231" s="46" t="s">
        <v>24</v>
      </c>
      <c r="I231" s="56" t="s">
        <v>25</v>
      </c>
      <c r="J231" s="34"/>
      <c r="K231" s="33">
        <v>107.87</v>
      </c>
      <c r="L231" s="19"/>
    </row>
    <row r="232" spans="1:12" ht="24.75" hidden="1" customHeight="1" x14ac:dyDescent="0.15">
      <c r="A232" s="18"/>
      <c r="B232" s="69" t="str">
        <f t="shared" si="3"/>
        <v>01/2026</v>
      </c>
      <c r="C232" s="9">
        <v>46051</v>
      </c>
      <c r="D232" s="8" t="s">
        <v>202</v>
      </c>
      <c r="E232" s="46" t="s">
        <v>328</v>
      </c>
      <c r="F232" s="46" t="s">
        <v>329</v>
      </c>
      <c r="G232" s="4" t="s">
        <v>251</v>
      </c>
      <c r="H232" s="46" t="s">
        <v>24</v>
      </c>
      <c r="I232" s="56" t="s">
        <v>25</v>
      </c>
      <c r="J232" s="35"/>
      <c r="K232" s="32">
        <v>122.23</v>
      </c>
      <c r="L232" s="19"/>
    </row>
    <row r="233" spans="1:12" ht="24.75" hidden="1" customHeight="1" x14ac:dyDescent="0.15">
      <c r="A233" s="18"/>
      <c r="B233" s="69" t="str">
        <f t="shared" si="3"/>
        <v>01/2026</v>
      </c>
      <c r="C233" s="9">
        <v>46051</v>
      </c>
      <c r="D233" s="8" t="s">
        <v>202</v>
      </c>
      <c r="E233" s="46" t="s">
        <v>328</v>
      </c>
      <c r="F233" s="46" t="s">
        <v>329</v>
      </c>
      <c r="G233" s="4" t="s">
        <v>251</v>
      </c>
      <c r="H233" s="46" t="s">
        <v>24</v>
      </c>
      <c r="I233" s="56" t="s">
        <v>25</v>
      </c>
      <c r="J233" s="34"/>
      <c r="K233" s="33">
        <v>417.67</v>
      </c>
      <c r="L233" s="19"/>
    </row>
    <row r="234" spans="1:12" ht="24.75" hidden="1" customHeight="1" x14ac:dyDescent="0.15">
      <c r="A234" s="18"/>
      <c r="B234" s="69" t="str">
        <f t="shared" si="3"/>
        <v>01/2026</v>
      </c>
      <c r="C234" s="9">
        <v>46051</v>
      </c>
      <c r="D234" s="8" t="s">
        <v>202</v>
      </c>
      <c r="E234" s="46" t="s">
        <v>328</v>
      </c>
      <c r="F234" s="46" t="s">
        <v>329</v>
      </c>
      <c r="G234" s="4" t="s">
        <v>251</v>
      </c>
      <c r="H234" s="46" t="s">
        <v>24</v>
      </c>
      <c r="I234" s="56" t="s">
        <v>25</v>
      </c>
      <c r="J234" s="34"/>
      <c r="K234" s="33">
        <v>429.35</v>
      </c>
      <c r="L234" s="19"/>
    </row>
    <row r="235" spans="1:12" ht="24.75" hidden="1" customHeight="1" x14ac:dyDescent="0.15">
      <c r="A235" s="18"/>
      <c r="B235" s="69" t="str">
        <f t="shared" si="3"/>
        <v>01/2026</v>
      </c>
      <c r="C235" s="9">
        <v>46051</v>
      </c>
      <c r="D235" s="8" t="s">
        <v>202</v>
      </c>
      <c r="E235" s="46" t="s">
        <v>328</v>
      </c>
      <c r="F235" s="46" t="s">
        <v>329</v>
      </c>
      <c r="G235" s="4" t="s">
        <v>251</v>
      </c>
      <c r="H235" s="46" t="s">
        <v>24</v>
      </c>
      <c r="I235" s="56" t="s">
        <v>25</v>
      </c>
      <c r="J235" s="34"/>
      <c r="K235" s="32">
        <v>441.37</v>
      </c>
      <c r="L235" s="19"/>
    </row>
    <row r="236" spans="1:12" ht="24.75" hidden="1" customHeight="1" x14ac:dyDescent="0.15">
      <c r="A236" s="18"/>
      <c r="B236" s="69" t="str">
        <f t="shared" si="3"/>
        <v>01/2026</v>
      </c>
      <c r="C236" s="9">
        <v>46051</v>
      </c>
      <c r="D236" s="8" t="s">
        <v>202</v>
      </c>
      <c r="E236" s="46" t="s">
        <v>328</v>
      </c>
      <c r="F236" s="46" t="s">
        <v>329</v>
      </c>
      <c r="G236" s="4" t="s">
        <v>251</v>
      </c>
      <c r="H236" s="46" t="s">
        <v>24</v>
      </c>
      <c r="I236" s="56" t="s">
        <v>25</v>
      </c>
      <c r="J236" s="35"/>
      <c r="K236" s="32">
        <v>689.29</v>
      </c>
      <c r="L236" s="19"/>
    </row>
    <row r="237" spans="1:12" ht="24.75" hidden="1" customHeight="1" x14ac:dyDescent="0.15">
      <c r="A237" s="18"/>
      <c r="B237" s="69" t="str">
        <f t="shared" si="3"/>
        <v>01/2026</v>
      </c>
      <c r="C237" s="9">
        <v>46051</v>
      </c>
      <c r="D237" s="8" t="s">
        <v>202</v>
      </c>
      <c r="E237" s="46" t="s">
        <v>328</v>
      </c>
      <c r="F237" s="46" t="s">
        <v>329</v>
      </c>
      <c r="G237" s="4" t="s">
        <v>251</v>
      </c>
      <c r="H237" s="46" t="s">
        <v>24</v>
      </c>
      <c r="I237" s="56" t="s">
        <v>25</v>
      </c>
      <c r="J237" s="34"/>
      <c r="K237" s="33">
        <v>728.4</v>
      </c>
      <c r="L237" s="19"/>
    </row>
    <row r="238" spans="1:12" ht="24.75" hidden="1" customHeight="1" x14ac:dyDescent="0.15">
      <c r="A238" s="18"/>
      <c r="B238" s="69" t="str">
        <f t="shared" si="3"/>
        <v>01/2026</v>
      </c>
      <c r="C238" s="9">
        <v>46051</v>
      </c>
      <c r="D238" s="8" t="s">
        <v>202</v>
      </c>
      <c r="E238" s="46" t="s">
        <v>328</v>
      </c>
      <c r="F238" s="46" t="s">
        <v>329</v>
      </c>
      <c r="G238" s="4" t="s">
        <v>251</v>
      </c>
      <c r="H238" s="46" t="s">
        <v>24</v>
      </c>
      <c r="I238" s="56" t="s">
        <v>25</v>
      </c>
      <c r="J238" s="34"/>
      <c r="K238" s="33">
        <v>985.84</v>
      </c>
      <c r="L238" s="19"/>
    </row>
    <row r="239" spans="1:12" ht="24.75" hidden="1" customHeight="1" x14ac:dyDescent="0.15">
      <c r="A239" s="18"/>
      <c r="B239" s="69" t="str">
        <f t="shared" si="3"/>
        <v>01/2026</v>
      </c>
      <c r="C239" s="9">
        <v>46051</v>
      </c>
      <c r="D239" s="8" t="s">
        <v>202</v>
      </c>
      <c r="E239" s="46" t="s">
        <v>328</v>
      </c>
      <c r="F239" s="46" t="s">
        <v>329</v>
      </c>
      <c r="G239" s="4" t="s">
        <v>251</v>
      </c>
      <c r="H239" s="46" t="s">
        <v>24</v>
      </c>
      <c r="I239" s="56" t="s">
        <v>25</v>
      </c>
      <c r="J239" s="34"/>
      <c r="K239" s="33">
        <v>1037.79</v>
      </c>
      <c r="L239" s="19"/>
    </row>
    <row r="240" spans="1:12" ht="24.75" hidden="1" customHeight="1" x14ac:dyDescent="0.15">
      <c r="A240" s="18"/>
      <c r="B240" s="69" t="str">
        <f t="shared" si="3"/>
        <v>01/2026</v>
      </c>
      <c r="C240" s="9">
        <v>46051</v>
      </c>
      <c r="D240" s="8" t="s">
        <v>202</v>
      </c>
      <c r="E240" s="46" t="s">
        <v>328</v>
      </c>
      <c r="F240" s="46" t="s">
        <v>329</v>
      </c>
      <c r="G240" s="4" t="s">
        <v>251</v>
      </c>
      <c r="H240" s="46" t="s">
        <v>24</v>
      </c>
      <c r="I240" s="56" t="s">
        <v>25</v>
      </c>
      <c r="J240" s="34"/>
      <c r="K240" s="33">
        <v>1172.44</v>
      </c>
      <c r="L240" s="19"/>
    </row>
    <row r="241" spans="1:12" ht="24.75" hidden="1" customHeight="1" x14ac:dyDescent="0.15">
      <c r="A241" s="18"/>
      <c r="B241" s="69" t="str">
        <f t="shared" si="3"/>
        <v>01/2026</v>
      </c>
      <c r="C241" s="9">
        <v>46051</v>
      </c>
      <c r="D241" s="8" t="s">
        <v>202</v>
      </c>
      <c r="E241" s="46" t="s">
        <v>328</v>
      </c>
      <c r="F241" s="46" t="s">
        <v>329</v>
      </c>
      <c r="G241" s="4" t="s">
        <v>251</v>
      </c>
      <c r="H241" s="46" t="s">
        <v>24</v>
      </c>
      <c r="I241" s="56" t="s">
        <v>25</v>
      </c>
      <c r="J241" s="34"/>
      <c r="K241" s="33">
        <v>556.63</v>
      </c>
      <c r="L241" s="19"/>
    </row>
    <row r="242" spans="1:12" ht="24.75" hidden="1" customHeight="1" x14ac:dyDescent="0.15">
      <c r="A242" s="18"/>
      <c r="B242" s="69" t="str">
        <f t="shared" si="3"/>
        <v>01/2026</v>
      </c>
      <c r="C242" s="9">
        <v>46051</v>
      </c>
      <c r="D242" s="8" t="s">
        <v>202</v>
      </c>
      <c r="E242" s="46" t="s">
        <v>328</v>
      </c>
      <c r="F242" s="46" t="s">
        <v>329</v>
      </c>
      <c r="G242" s="4" t="s">
        <v>251</v>
      </c>
      <c r="H242" s="46" t="s">
        <v>24</v>
      </c>
      <c r="I242" s="56" t="s">
        <v>25</v>
      </c>
      <c r="J242" s="34"/>
      <c r="K242" s="33">
        <v>672.33</v>
      </c>
      <c r="L242" s="19"/>
    </row>
    <row r="243" spans="1:12" ht="24.75" hidden="1" customHeight="1" x14ac:dyDescent="0.15">
      <c r="A243" s="18"/>
      <c r="B243" s="69" t="str">
        <f t="shared" si="3"/>
        <v>01/2026</v>
      </c>
      <c r="C243" s="9">
        <v>46051</v>
      </c>
      <c r="D243" s="8" t="s">
        <v>202</v>
      </c>
      <c r="E243" s="46" t="s">
        <v>328</v>
      </c>
      <c r="F243" s="46" t="s">
        <v>329</v>
      </c>
      <c r="G243" s="4" t="s">
        <v>251</v>
      </c>
      <c r="H243" s="46" t="s">
        <v>24</v>
      </c>
      <c r="I243" s="56" t="s">
        <v>25</v>
      </c>
      <c r="J243" s="35"/>
      <c r="K243" s="32">
        <v>2077.8200000000002</v>
      </c>
      <c r="L243" s="19"/>
    </row>
    <row r="244" spans="1:12" ht="24.75" hidden="1" customHeight="1" x14ac:dyDescent="0.15">
      <c r="A244" s="18"/>
      <c r="B244" s="69" t="str">
        <f t="shared" si="3"/>
        <v>01/2026</v>
      </c>
      <c r="C244" s="9">
        <v>46051</v>
      </c>
      <c r="D244" s="8" t="s">
        <v>202</v>
      </c>
      <c r="E244" s="46" t="s">
        <v>328</v>
      </c>
      <c r="F244" s="46" t="s">
        <v>329</v>
      </c>
      <c r="G244" s="4" t="s">
        <v>251</v>
      </c>
      <c r="H244" s="46" t="s">
        <v>24</v>
      </c>
      <c r="I244" s="56" t="s">
        <v>25</v>
      </c>
      <c r="J244" s="34"/>
      <c r="K244" s="33">
        <v>2566.41</v>
      </c>
      <c r="L244" s="19"/>
    </row>
    <row r="245" spans="1:12" ht="24.75" hidden="1" customHeight="1" x14ac:dyDescent="0.15">
      <c r="A245" s="18"/>
      <c r="B245" s="69" t="str">
        <f t="shared" si="3"/>
        <v>01/2026</v>
      </c>
      <c r="C245" s="9">
        <v>46051</v>
      </c>
      <c r="D245" s="8" t="s">
        <v>202</v>
      </c>
      <c r="E245" s="46" t="s">
        <v>328</v>
      </c>
      <c r="F245" s="46" t="s">
        <v>329</v>
      </c>
      <c r="G245" s="4" t="s">
        <v>251</v>
      </c>
      <c r="H245" s="46" t="s">
        <v>24</v>
      </c>
      <c r="I245" s="56" t="s">
        <v>25</v>
      </c>
      <c r="J245" s="34"/>
      <c r="K245" s="33">
        <v>3441.77</v>
      </c>
      <c r="L245" s="19"/>
    </row>
    <row r="246" spans="1:12" ht="24.75" hidden="1" customHeight="1" x14ac:dyDescent="0.15">
      <c r="A246" s="18"/>
      <c r="B246" s="69" t="str">
        <f t="shared" si="3"/>
        <v>01/2026</v>
      </c>
      <c r="C246" s="9">
        <v>46051</v>
      </c>
      <c r="D246" s="8" t="s">
        <v>202</v>
      </c>
      <c r="E246" s="46" t="s">
        <v>328</v>
      </c>
      <c r="F246" s="46" t="s">
        <v>329</v>
      </c>
      <c r="G246" s="4" t="s">
        <v>251</v>
      </c>
      <c r="H246" s="46" t="s">
        <v>24</v>
      </c>
      <c r="I246" s="56" t="s">
        <v>25</v>
      </c>
      <c r="J246" s="34"/>
      <c r="K246" s="33">
        <v>4294.3599999999997</v>
      </c>
      <c r="L246" s="19"/>
    </row>
    <row r="247" spans="1:12" ht="24.75" hidden="1" customHeight="1" x14ac:dyDescent="0.15">
      <c r="A247" s="18"/>
      <c r="B247" s="69" t="str">
        <f t="shared" si="3"/>
        <v>01/2026</v>
      </c>
      <c r="C247" s="9">
        <v>46051</v>
      </c>
      <c r="D247" s="8" t="s">
        <v>202</v>
      </c>
      <c r="E247" s="46" t="s">
        <v>328</v>
      </c>
      <c r="F247" s="46" t="s">
        <v>329</v>
      </c>
      <c r="G247" s="4" t="s">
        <v>251</v>
      </c>
      <c r="H247" s="46" t="s">
        <v>24</v>
      </c>
      <c r="I247" s="56" t="s">
        <v>25</v>
      </c>
      <c r="J247" s="34"/>
      <c r="K247" s="33">
        <v>9235.9</v>
      </c>
      <c r="L247" s="19"/>
    </row>
    <row r="248" spans="1:12" ht="24.75" hidden="1" customHeight="1" x14ac:dyDescent="0.15">
      <c r="A248" s="18"/>
      <c r="B248" s="69" t="str">
        <f t="shared" si="3"/>
        <v>01/2026</v>
      </c>
      <c r="C248" s="9">
        <v>46051</v>
      </c>
      <c r="D248" s="47" t="s">
        <v>202</v>
      </c>
      <c r="E248" s="46" t="s">
        <v>311</v>
      </c>
      <c r="F248" s="46" t="s">
        <v>330</v>
      </c>
      <c r="G248" s="4" t="s">
        <v>75</v>
      </c>
      <c r="H248" s="46" t="s">
        <v>24</v>
      </c>
      <c r="I248" s="56" t="s">
        <v>25</v>
      </c>
      <c r="J248" s="35"/>
      <c r="K248" s="32">
        <v>1390.1</v>
      </c>
      <c r="L248" s="19"/>
    </row>
    <row r="249" spans="1:12" ht="24.75" hidden="1" customHeight="1" x14ac:dyDescent="0.15">
      <c r="A249" s="18"/>
      <c r="B249" s="69" t="str">
        <f t="shared" si="3"/>
        <v>01/2026</v>
      </c>
      <c r="C249" s="9">
        <v>46051</v>
      </c>
      <c r="D249" s="47" t="s">
        <v>67</v>
      </c>
      <c r="E249" s="46" t="s">
        <v>310</v>
      </c>
      <c r="F249" s="46" t="s">
        <v>300</v>
      </c>
      <c r="G249" s="4" t="s">
        <v>274</v>
      </c>
      <c r="H249" s="46" t="s">
        <v>363</v>
      </c>
      <c r="I249" s="56" t="s">
        <v>25</v>
      </c>
      <c r="J249" s="35"/>
      <c r="K249" s="33">
        <v>968.1</v>
      </c>
      <c r="L249" s="19"/>
    </row>
    <row r="250" spans="1:12" ht="24.75" hidden="1" customHeight="1" x14ac:dyDescent="0.15">
      <c r="A250" s="18"/>
      <c r="B250" s="69" t="str">
        <f t="shared" si="3"/>
        <v>01/2026</v>
      </c>
      <c r="C250" s="9">
        <v>46051</v>
      </c>
      <c r="D250" s="47" t="s">
        <v>67</v>
      </c>
      <c r="E250" s="46" t="s">
        <v>310</v>
      </c>
      <c r="F250" s="46" t="s">
        <v>300</v>
      </c>
      <c r="G250" s="4" t="s">
        <v>294</v>
      </c>
      <c r="H250" s="46" t="s">
        <v>364</v>
      </c>
      <c r="I250" s="56" t="s">
        <v>25</v>
      </c>
      <c r="J250" s="34"/>
      <c r="K250" s="32">
        <v>2946.5</v>
      </c>
      <c r="L250" s="19"/>
    </row>
    <row r="251" spans="1:12" ht="24.75" hidden="1" customHeight="1" x14ac:dyDescent="0.15">
      <c r="A251" s="18"/>
      <c r="B251" s="69" t="str">
        <f t="shared" si="3"/>
        <v>01/2026</v>
      </c>
      <c r="C251" s="9">
        <v>46051</v>
      </c>
      <c r="D251" s="47" t="s">
        <v>67</v>
      </c>
      <c r="E251" s="46" t="s">
        <v>310</v>
      </c>
      <c r="F251" s="46" t="s">
        <v>300</v>
      </c>
      <c r="G251" s="4" t="s">
        <v>295</v>
      </c>
      <c r="H251" s="46" t="s">
        <v>364</v>
      </c>
      <c r="I251" s="56" t="s">
        <v>25</v>
      </c>
      <c r="J251" s="35"/>
      <c r="K251" s="33">
        <v>304.29000000000002</v>
      </c>
      <c r="L251" s="19"/>
    </row>
    <row r="252" spans="1:12" ht="24.75" hidden="1" customHeight="1" x14ac:dyDescent="0.15">
      <c r="A252" s="18"/>
      <c r="B252" s="69" t="str">
        <f t="shared" si="3"/>
        <v>01/2026</v>
      </c>
      <c r="C252" s="9">
        <v>46051</v>
      </c>
      <c r="D252" s="47" t="s">
        <v>241</v>
      </c>
      <c r="E252" s="46" t="s">
        <v>314</v>
      </c>
      <c r="F252" s="46" t="s">
        <v>336</v>
      </c>
      <c r="G252" s="4" t="s">
        <v>62</v>
      </c>
      <c r="H252" s="37" t="s">
        <v>24</v>
      </c>
      <c r="I252" s="56" t="s">
        <v>25</v>
      </c>
      <c r="J252" s="34"/>
      <c r="K252" s="33">
        <v>400</v>
      </c>
      <c r="L252" s="19"/>
    </row>
    <row r="253" spans="1:12" ht="24.75" hidden="1" customHeight="1" x14ac:dyDescent="0.15">
      <c r="A253" s="18"/>
      <c r="B253" s="69" t="str">
        <f t="shared" si="3"/>
        <v>01/2026</v>
      </c>
      <c r="C253" s="9">
        <v>46051</v>
      </c>
      <c r="D253" s="47" t="s">
        <v>78</v>
      </c>
      <c r="E253" s="46" t="s">
        <v>311</v>
      </c>
      <c r="F253" s="46" t="s">
        <v>145</v>
      </c>
      <c r="G253" s="4" t="s">
        <v>79</v>
      </c>
      <c r="H253" s="46" t="s">
        <v>367</v>
      </c>
      <c r="I253" s="56" t="s">
        <v>25</v>
      </c>
      <c r="J253" s="35"/>
      <c r="K253" s="33">
        <v>584</v>
      </c>
      <c r="L253" s="19"/>
    </row>
    <row r="254" spans="1:12" ht="24.75" hidden="1" customHeight="1" x14ac:dyDescent="0.15">
      <c r="A254" s="18"/>
      <c r="B254" s="69" t="str">
        <f t="shared" si="3"/>
        <v>01/2026</v>
      </c>
      <c r="C254" s="9">
        <v>46052</v>
      </c>
      <c r="D254" s="8" t="s">
        <v>198</v>
      </c>
      <c r="E254" s="46" t="s">
        <v>314</v>
      </c>
      <c r="F254" s="46" t="s">
        <v>343</v>
      </c>
      <c r="G254" s="4" t="s">
        <v>244</v>
      </c>
      <c r="H254" s="46" t="s">
        <v>24</v>
      </c>
      <c r="I254" s="56" t="s">
        <v>25</v>
      </c>
      <c r="J254" s="35">
        <v>807.7</v>
      </c>
      <c r="K254" s="32"/>
      <c r="L254" s="19"/>
    </row>
    <row r="255" spans="1:12" ht="24.75" hidden="1" customHeight="1" x14ac:dyDescent="0.15">
      <c r="A255" s="18"/>
      <c r="B255" s="69" t="str">
        <f t="shared" si="3"/>
        <v>01/2026</v>
      </c>
      <c r="C255" s="9">
        <v>46052</v>
      </c>
      <c r="D255" s="47" t="s">
        <v>202</v>
      </c>
      <c r="E255" s="46" t="s">
        <v>311</v>
      </c>
      <c r="F255" s="46" t="s">
        <v>330</v>
      </c>
      <c r="G255" s="4" t="s">
        <v>75</v>
      </c>
      <c r="H255" s="37" t="s">
        <v>24</v>
      </c>
      <c r="I255" s="56" t="s">
        <v>25</v>
      </c>
      <c r="J255" s="34"/>
      <c r="K255" s="32">
        <v>572.29</v>
      </c>
      <c r="L255" s="19"/>
    </row>
    <row r="256" spans="1:12" ht="24.75" hidden="1" customHeight="1" x14ac:dyDescent="0.15">
      <c r="A256" s="18"/>
      <c r="B256" s="69" t="str">
        <f t="shared" si="3"/>
        <v>01/2026</v>
      </c>
      <c r="C256" s="9">
        <v>46052</v>
      </c>
      <c r="D256" s="47" t="s">
        <v>202</v>
      </c>
      <c r="E256" s="46" t="s">
        <v>311</v>
      </c>
      <c r="F256" s="46" t="s">
        <v>330</v>
      </c>
      <c r="G256" s="4" t="s">
        <v>75</v>
      </c>
      <c r="H256" s="37" t="s">
        <v>24</v>
      </c>
      <c r="I256" s="56" t="s">
        <v>25</v>
      </c>
      <c r="J256" s="34"/>
      <c r="K256" s="33">
        <v>514.04999999999995</v>
      </c>
      <c r="L256" s="19"/>
    </row>
    <row r="257" spans="1:12" ht="24.75" hidden="1" customHeight="1" x14ac:dyDescent="0.15">
      <c r="A257" s="18"/>
      <c r="B257" s="69" t="str">
        <f t="shared" si="3"/>
        <v>01/2026</v>
      </c>
      <c r="C257" s="9">
        <v>46052</v>
      </c>
      <c r="D257" s="47" t="s">
        <v>202</v>
      </c>
      <c r="E257" s="46" t="s">
        <v>311</v>
      </c>
      <c r="F257" s="46" t="s">
        <v>330</v>
      </c>
      <c r="G257" s="4" t="s">
        <v>75</v>
      </c>
      <c r="H257" s="37" t="s">
        <v>24</v>
      </c>
      <c r="I257" s="56" t="s">
        <v>25</v>
      </c>
      <c r="J257" s="34"/>
      <c r="K257" s="33">
        <v>667.6</v>
      </c>
      <c r="L257" s="19"/>
    </row>
    <row r="258" spans="1:12" ht="24.75" hidden="1" customHeight="1" x14ac:dyDescent="0.15">
      <c r="A258" s="18"/>
      <c r="B258" s="69" t="str">
        <f t="shared" si="3"/>
        <v>01/2026</v>
      </c>
      <c r="C258" s="9">
        <v>46052</v>
      </c>
      <c r="D258" s="47" t="s">
        <v>98</v>
      </c>
      <c r="E258" s="46" t="s">
        <v>324</v>
      </c>
      <c r="F258" s="46" t="s">
        <v>344</v>
      </c>
      <c r="G258" s="4" t="s">
        <v>23</v>
      </c>
      <c r="H258" s="46" t="s">
        <v>24</v>
      </c>
      <c r="I258" s="56" t="s">
        <v>25</v>
      </c>
      <c r="J258" s="34">
        <v>0.31</v>
      </c>
      <c r="K258" s="32"/>
      <c r="L258" s="19"/>
    </row>
    <row r="259" spans="1:12" ht="24.75" hidden="1" customHeight="1" x14ac:dyDescent="0.15">
      <c r="A259" s="18"/>
      <c r="B259" s="69" t="str">
        <f t="shared" si="3"/>
        <v>01/2026</v>
      </c>
      <c r="C259" s="9">
        <v>46052</v>
      </c>
      <c r="D259" s="47" t="s">
        <v>98</v>
      </c>
      <c r="E259" s="46" t="s">
        <v>324</v>
      </c>
      <c r="F259" s="46" t="s">
        <v>301</v>
      </c>
      <c r="G259" s="4" t="s">
        <v>222</v>
      </c>
      <c r="H259" s="37" t="s">
        <v>24</v>
      </c>
      <c r="I259" s="56" t="s">
        <v>25</v>
      </c>
      <c r="J259" s="34"/>
      <c r="K259" s="33">
        <v>12.51</v>
      </c>
      <c r="L259" s="19"/>
    </row>
    <row r="260" spans="1:12" ht="24.75" hidden="1" customHeight="1" x14ac:dyDescent="0.15">
      <c r="A260" s="18"/>
      <c r="B260" s="69" t="str">
        <f t="shared" si="3"/>
        <v>02/2026</v>
      </c>
      <c r="C260" s="9">
        <v>46055</v>
      </c>
      <c r="D260" s="8" t="s">
        <v>63</v>
      </c>
      <c r="E260" s="46" t="s">
        <v>339</v>
      </c>
      <c r="F260" s="46" t="s">
        <v>341</v>
      </c>
      <c r="G260" s="4" t="s">
        <v>119</v>
      </c>
      <c r="H260" s="37" t="s">
        <v>119</v>
      </c>
      <c r="I260" s="56" t="s">
        <v>25</v>
      </c>
      <c r="J260" s="34">
        <v>9000</v>
      </c>
      <c r="K260" s="33"/>
      <c r="L260" s="19"/>
    </row>
    <row r="261" spans="1:12" ht="24.75" hidden="1" customHeight="1" x14ac:dyDescent="0.15">
      <c r="A261" s="18">
        <v>0</v>
      </c>
      <c r="B261" s="69" t="str">
        <f t="shared" ref="B261:B324" si="4">TEXT(C261,"mm/aaaa")</f>
        <v>02/2026</v>
      </c>
      <c r="C261" s="9">
        <v>46055</v>
      </c>
      <c r="D261" s="8" t="s">
        <v>68</v>
      </c>
      <c r="E261" s="46" t="s">
        <v>311</v>
      </c>
      <c r="F261" s="46" t="s">
        <v>312</v>
      </c>
      <c r="G261" s="4" t="s">
        <v>298</v>
      </c>
      <c r="H261" s="46" t="s">
        <v>363</v>
      </c>
      <c r="I261" s="56" t="s">
        <v>25</v>
      </c>
      <c r="J261" s="34"/>
      <c r="K261" s="32">
        <v>257.99</v>
      </c>
      <c r="L261" s="19"/>
    </row>
    <row r="262" spans="1:12" ht="24.75" hidden="1" customHeight="1" x14ac:dyDescent="0.15">
      <c r="A262" s="18"/>
      <c r="B262" s="69" t="str">
        <f t="shared" si="4"/>
        <v>02/2026</v>
      </c>
      <c r="C262" s="9">
        <v>46055</v>
      </c>
      <c r="D262" s="47" t="s">
        <v>68</v>
      </c>
      <c r="E262" s="46" t="s">
        <v>311</v>
      </c>
      <c r="F262" s="46" t="s">
        <v>312</v>
      </c>
      <c r="G262" s="4" t="s">
        <v>299</v>
      </c>
      <c r="H262" s="46" t="s">
        <v>364</v>
      </c>
      <c r="I262" s="56" t="s">
        <v>25</v>
      </c>
      <c r="J262" s="35"/>
      <c r="K262" s="33">
        <v>401.04</v>
      </c>
      <c r="L262" s="19"/>
    </row>
    <row r="263" spans="1:12" ht="24.75" hidden="1" customHeight="1" x14ac:dyDescent="0.15">
      <c r="A263" s="18"/>
      <c r="B263" s="69" t="str">
        <f t="shared" si="4"/>
        <v>02/2026</v>
      </c>
      <c r="C263" s="9">
        <v>46055</v>
      </c>
      <c r="D263" s="47" t="s">
        <v>67</v>
      </c>
      <c r="E263" s="46" t="s">
        <v>310</v>
      </c>
      <c r="F263" s="46" t="s">
        <v>300</v>
      </c>
      <c r="G263" s="4" t="s">
        <v>298</v>
      </c>
      <c r="H263" s="46" t="s">
        <v>363</v>
      </c>
      <c r="I263" s="56" t="s">
        <v>25</v>
      </c>
      <c r="J263" s="34"/>
      <c r="K263" s="32">
        <v>3012.29</v>
      </c>
      <c r="L263" s="19"/>
    </row>
    <row r="264" spans="1:12" ht="24.75" hidden="1" customHeight="1" x14ac:dyDescent="0.15">
      <c r="A264" s="18"/>
      <c r="B264" s="69" t="str">
        <f t="shared" si="4"/>
        <v>02/2026</v>
      </c>
      <c r="C264" s="9">
        <v>46055</v>
      </c>
      <c r="D264" s="47" t="s">
        <v>67</v>
      </c>
      <c r="E264" s="46" t="s">
        <v>310</v>
      </c>
      <c r="F264" s="46" t="s">
        <v>300</v>
      </c>
      <c r="G264" s="4" t="s">
        <v>299</v>
      </c>
      <c r="H264" s="46" t="s">
        <v>364</v>
      </c>
      <c r="I264" s="56" t="s">
        <v>25</v>
      </c>
      <c r="J264" s="34"/>
      <c r="K264" s="33">
        <v>3100.51</v>
      </c>
      <c r="L264" s="19"/>
    </row>
    <row r="265" spans="1:12" ht="24.75" hidden="1" customHeight="1" x14ac:dyDescent="0.15">
      <c r="A265" s="18"/>
      <c r="B265" s="69" t="str">
        <f t="shared" si="4"/>
        <v>02/2026</v>
      </c>
      <c r="C265" s="9">
        <v>46055</v>
      </c>
      <c r="D265" s="47" t="s">
        <v>112</v>
      </c>
      <c r="E265" s="46" t="s">
        <v>314</v>
      </c>
      <c r="F265" s="46" t="s">
        <v>360</v>
      </c>
      <c r="G265" s="4" t="s">
        <v>190</v>
      </c>
      <c r="H265" s="46" t="s">
        <v>24</v>
      </c>
      <c r="I265" s="56" t="s">
        <v>25</v>
      </c>
      <c r="J265" s="34"/>
      <c r="K265" s="32">
        <v>1200</v>
      </c>
      <c r="L265" s="19"/>
    </row>
    <row r="266" spans="1:12" ht="24.75" hidden="1" customHeight="1" x14ac:dyDescent="0.15">
      <c r="A266" s="18"/>
      <c r="B266" s="69" t="str">
        <f t="shared" si="4"/>
        <v>02/2026</v>
      </c>
      <c r="C266" s="9">
        <v>46055</v>
      </c>
      <c r="D266" s="47" t="s">
        <v>32</v>
      </c>
      <c r="E266" s="46" t="s">
        <v>311</v>
      </c>
      <c r="F266" s="46" t="s">
        <v>146</v>
      </c>
      <c r="G266" s="4" t="s">
        <v>38</v>
      </c>
      <c r="H266" s="46" t="s">
        <v>363</v>
      </c>
      <c r="I266" s="56" t="s">
        <v>25</v>
      </c>
      <c r="J266" s="34"/>
      <c r="K266" s="33">
        <v>9.02</v>
      </c>
      <c r="L266" s="19"/>
    </row>
    <row r="267" spans="1:12" ht="24.75" hidden="1" customHeight="1" x14ac:dyDescent="0.15">
      <c r="A267" s="18"/>
      <c r="B267" s="69" t="str">
        <f t="shared" si="4"/>
        <v>02/2026</v>
      </c>
      <c r="C267" s="9">
        <v>46056</v>
      </c>
      <c r="D267" s="47" t="s">
        <v>112</v>
      </c>
      <c r="E267" s="46" t="s">
        <v>314</v>
      </c>
      <c r="F267" s="46" t="s">
        <v>360</v>
      </c>
      <c r="G267" s="4" t="s">
        <v>188</v>
      </c>
      <c r="H267" s="37" t="s">
        <v>24</v>
      </c>
      <c r="I267" s="56" t="s">
        <v>25</v>
      </c>
      <c r="J267" s="34"/>
      <c r="K267" s="33">
        <v>896.62</v>
      </c>
      <c r="L267" s="19"/>
    </row>
    <row r="268" spans="1:12" ht="24.75" hidden="1" customHeight="1" x14ac:dyDescent="0.15">
      <c r="A268" s="18"/>
      <c r="B268" s="69" t="str">
        <f t="shared" si="4"/>
        <v>02/2026</v>
      </c>
      <c r="C268" s="9">
        <v>46057</v>
      </c>
      <c r="D268" s="8" t="s">
        <v>63</v>
      </c>
      <c r="E268" s="46" t="s">
        <v>339</v>
      </c>
      <c r="F268" s="46" t="s">
        <v>341</v>
      </c>
      <c r="G268" s="4" t="s">
        <v>119</v>
      </c>
      <c r="H268" s="37" t="s">
        <v>119</v>
      </c>
      <c r="I268" s="56" t="s">
        <v>25</v>
      </c>
      <c r="J268" s="34">
        <f>9700+1000</f>
        <v>10700</v>
      </c>
      <c r="K268" s="33"/>
      <c r="L268" s="19"/>
    </row>
    <row r="269" spans="1:12" ht="24.75" hidden="1" customHeight="1" x14ac:dyDescent="0.15">
      <c r="A269" s="18">
        <v>0</v>
      </c>
      <c r="B269" s="69" t="str">
        <f t="shared" si="4"/>
        <v>02/2026</v>
      </c>
      <c r="C269" s="9">
        <v>46057</v>
      </c>
      <c r="D269" s="47" t="s">
        <v>110</v>
      </c>
      <c r="E269" s="46" t="s">
        <v>310</v>
      </c>
      <c r="F269" s="46" t="s">
        <v>150</v>
      </c>
      <c r="G269" s="4" t="s">
        <v>97</v>
      </c>
      <c r="H269" s="46" t="s">
        <v>363</v>
      </c>
      <c r="I269" s="56" t="s">
        <v>25</v>
      </c>
      <c r="J269" s="34"/>
      <c r="K269" s="33">
        <v>6534.41</v>
      </c>
      <c r="L269" s="19"/>
    </row>
    <row r="270" spans="1:12" ht="24.75" hidden="1" customHeight="1" x14ac:dyDescent="0.15">
      <c r="A270" s="18"/>
      <c r="B270" s="69" t="str">
        <f t="shared" si="4"/>
        <v>02/2026</v>
      </c>
      <c r="C270" s="9">
        <v>46057</v>
      </c>
      <c r="D270" s="8" t="s">
        <v>110</v>
      </c>
      <c r="E270" s="46" t="s">
        <v>310</v>
      </c>
      <c r="F270" s="46" t="s">
        <v>150</v>
      </c>
      <c r="G270" s="4" t="s">
        <v>243</v>
      </c>
      <c r="H270" s="46" t="s">
        <v>363</v>
      </c>
      <c r="I270" s="56" t="s">
        <v>25</v>
      </c>
      <c r="J270" s="34"/>
      <c r="K270" s="33">
        <v>3068.06</v>
      </c>
      <c r="L270" s="19"/>
    </row>
    <row r="271" spans="1:12" ht="24.75" hidden="1" customHeight="1" x14ac:dyDescent="0.15">
      <c r="A271" s="18"/>
      <c r="B271" s="69" t="str">
        <f t="shared" si="4"/>
        <v>02/2026</v>
      </c>
      <c r="C271" s="9">
        <v>46057</v>
      </c>
      <c r="D271" s="47" t="s">
        <v>78</v>
      </c>
      <c r="E271" s="46" t="s">
        <v>311</v>
      </c>
      <c r="F271" s="46" t="s">
        <v>145</v>
      </c>
      <c r="G271" s="4" t="s">
        <v>79</v>
      </c>
      <c r="H271" s="46" t="s">
        <v>367</v>
      </c>
      <c r="I271" s="56" t="s">
        <v>25</v>
      </c>
      <c r="J271" s="35"/>
      <c r="K271" s="32">
        <v>542</v>
      </c>
      <c r="L271" s="19"/>
    </row>
    <row r="272" spans="1:12" ht="24.75" hidden="1" customHeight="1" x14ac:dyDescent="0.15">
      <c r="A272" s="18"/>
      <c r="B272" s="69" t="str">
        <f t="shared" si="4"/>
        <v>02/2026</v>
      </c>
      <c r="C272" s="9">
        <v>46057</v>
      </c>
      <c r="D272" s="47" t="s">
        <v>78</v>
      </c>
      <c r="E272" s="46" t="s">
        <v>311</v>
      </c>
      <c r="F272" s="46" t="s">
        <v>145</v>
      </c>
      <c r="G272" s="4" t="s">
        <v>79</v>
      </c>
      <c r="H272" s="46" t="s">
        <v>364</v>
      </c>
      <c r="I272" s="56" t="s">
        <v>25</v>
      </c>
      <c r="J272" s="35"/>
      <c r="K272" s="33">
        <v>220</v>
      </c>
      <c r="L272" s="19"/>
    </row>
    <row r="273" spans="1:12" ht="24.75" hidden="1" customHeight="1" x14ac:dyDescent="0.15">
      <c r="A273" s="18"/>
      <c r="B273" s="69" t="str">
        <f t="shared" si="4"/>
        <v>02/2026</v>
      </c>
      <c r="C273" s="9">
        <v>46057</v>
      </c>
      <c r="D273" s="47" t="s">
        <v>98</v>
      </c>
      <c r="E273" s="46" t="s">
        <v>324</v>
      </c>
      <c r="F273" s="46" t="s">
        <v>301</v>
      </c>
      <c r="G273" s="4" t="s">
        <v>222</v>
      </c>
      <c r="H273" s="37" t="s">
        <v>24</v>
      </c>
      <c r="I273" s="56" t="s">
        <v>25</v>
      </c>
      <c r="J273" s="34"/>
      <c r="K273" s="32">
        <v>3.85</v>
      </c>
      <c r="L273" s="19"/>
    </row>
    <row r="274" spans="1:12" ht="24.75" hidden="1" customHeight="1" x14ac:dyDescent="0.15">
      <c r="A274" s="18"/>
      <c r="B274" s="69" t="str">
        <f t="shared" si="4"/>
        <v>02/2026</v>
      </c>
      <c r="C274" s="9">
        <v>46057</v>
      </c>
      <c r="D274" s="47" t="s">
        <v>98</v>
      </c>
      <c r="E274" s="46" t="s">
        <v>324</v>
      </c>
      <c r="F274" s="46" t="s">
        <v>301</v>
      </c>
      <c r="G274" s="4" t="s">
        <v>222</v>
      </c>
      <c r="H274" s="37" t="s">
        <v>24</v>
      </c>
      <c r="I274" s="56" t="s">
        <v>25</v>
      </c>
      <c r="J274" s="35"/>
      <c r="K274" s="33">
        <v>11.84</v>
      </c>
      <c r="L274" s="19"/>
    </row>
    <row r="275" spans="1:12" ht="24.75" hidden="1" customHeight="1" x14ac:dyDescent="0.15">
      <c r="A275" s="18"/>
      <c r="B275" s="69" t="str">
        <f t="shared" si="4"/>
        <v>02/2026</v>
      </c>
      <c r="C275" s="9">
        <v>46058</v>
      </c>
      <c r="D275" s="8" t="s">
        <v>63</v>
      </c>
      <c r="E275" s="46" t="s">
        <v>339</v>
      </c>
      <c r="F275" s="46" t="s">
        <v>341</v>
      </c>
      <c r="G275" s="4" t="s">
        <v>119</v>
      </c>
      <c r="H275" s="37" t="s">
        <v>119</v>
      </c>
      <c r="I275" s="56" t="s">
        <v>25</v>
      </c>
      <c r="J275" s="34">
        <v>6000</v>
      </c>
      <c r="K275" s="32"/>
      <c r="L275" s="19"/>
    </row>
    <row r="276" spans="1:12" ht="24.75" hidden="1" customHeight="1" x14ac:dyDescent="0.15">
      <c r="A276" s="18"/>
      <c r="B276" s="69" t="str">
        <f t="shared" si="4"/>
        <v>02/2026</v>
      </c>
      <c r="C276" s="9">
        <v>46058</v>
      </c>
      <c r="D276" s="47" t="s">
        <v>35</v>
      </c>
      <c r="E276" s="46" t="s">
        <v>317</v>
      </c>
      <c r="F276" s="46" t="s">
        <v>337</v>
      </c>
      <c r="G276" s="4" t="s">
        <v>164</v>
      </c>
      <c r="H276" s="46" t="s">
        <v>24</v>
      </c>
      <c r="I276" s="56" t="s">
        <v>25</v>
      </c>
      <c r="J276" s="34"/>
      <c r="K276" s="33">
        <v>1800</v>
      </c>
      <c r="L276" s="19"/>
    </row>
    <row r="277" spans="1:12" ht="24.75" hidden="1" customHeight="1" x14ac:dyDescent="0.15">
      <c r="A277" s="18">
        <v>0</v>
      </c>
      <c r="B277" s="69" t="str">
        <f t="shared" si="4"/>
        <v>02/2026</v>
      </c>
      <c r="C277" s="9">
        <v>46058</v>
      </c>
      <c r="D277" s="47" t="s">
        <v>186</v>
      </c>
      <c r="E277" s="46" t="s">
        <v>317</v>
      </c>
      <c r="F277" s="46" t="s">
        <v>318</v>
      </c>
      <c r="G277" s="4" t="s">
        <v>187</v>
      </c>
      <c r="H277" s="37" t="s">
        <v>369</v>
      </c>
      <c r="I277" s="56" t="s">
        <v>25</v>
      </c>
      <c r="J277" s="34"/>
      <c r="K277" s="33">
        <v>3156.96</v>
      </c>
      <c r="L277" s="19"/>
    </row>
    <row r="278" spans="1:12" ht="24.75" hidden="1" customHeight="1" x14ac:dyDescent="0.15">
      <c r="A278" s="18"/>
      <c r="B278" s="69" t="str">
        <f t="shared" si="4"/>
        <v>02/2026</v>
      </c>
      <c r="C278" s="9">
        <v>46058</v>
      </c>
      <c r="D278" s="47" t="s">
        <v>68</v>
      </c>
      <c r="E278" s="46" t="s">
        <v>311</v>
      </c>
      <c r="F278" s="46" t="s">
        <v>312</v>
      </c>
      <c r="G278" s="4" t="s">
        <v>285</v>
      </c>
      <c r="H278" s="46" t="s">
        <v>363</v>
      </c>
      <c r="I278" s="56" t="s">
        <v>25</v>
      </c>
      <c r="J278" s="34"/>
      <c r="K278" s="33">
        <v>57.54</v>
      </c>
      <c r="L278" s="19"/>
    </row>
    <row r="279" spans="1:12" ht="24.75" hidden="1" customHeight="1" x14ac:dyDescent="0.15">
      <c r="A279" s="18"/>
      <c r="B279" s="69" t="str">
        <f t="shared" si="4"/>
        <v>02/2026</v>
      </c>
      <c r="C279" s="9">
        <v>46058</v>
      </c>
      <c r="D279" s="47" t="s">
        <v>67</v>
      </c>
      <c r="E279" s="46" t="s">
        <v>310</v>
      </c>
      <c r="F279" s="46" t="s">
        <v>300</v>
      </c>
      <c r="G279" s="4" t="s">
        <v>285</v>
      </c>
      <c r="H279" s="46" t="s">
        <v>363</v>
      </c>
      <c r="I279" s="56" t="s">
        <v>25</v>
      </c>
      <c r="J279" s="34"/>
      <c r="K279" s="32">
        <v>669.52</v>
      </c>
      <c r="L279" s="19"/>
    </row>
    <row r="280" spans="1:12" ht="24.75" hidden="1" customHeight="1" x14ac:dyDescent="0.15">
      <c r="A280" s="18"/>
      <c r="B280" s="69" t="str">
        <f t="shared" si="4"/>
        <v>02/2026</v>
      </c>
      <c r="C280" s="9">
        <v>46058</v>
      </c>
      <c r="D280" s="47" t="s">
        <v>98</v>
      </c>
      <c r="E280" s="46" t="s">
        <v>324</v>
      </c>
      <c r="F280" s="46" t="s">
        <v>301</v>
      </c>
      <c r="G280" s="4" t="s">
        <v>222</v>
      </c>
      <c r="H280" s="37" t="s">
        <v>24</v>
      </c>
      <c r="I280" s="56" t="s">
        <v>25</v>
      </c>
      <c r="J280" s="32"/>
      <c r="K280" s="33">
        <v>3.64</v>
      </c>
      <c r="L280" s="19"/>
    </row>
    <row r="281" spans="1:12" ht="24.75" hidden="1" customHeight="1" x14ac:dyDescent="0.15">
      <c r="A281" s="18"/>
      <c r="B281" s="69" t="str">
        <f t="shared" si="4"/>
        <v>02/2026</v>
      </c>
      <c r="C281" s="9">
        <v>46059</v>
      </c>
      <c r="D281" s="8" t="s">
        <v>235</v>
      </c>
      <c r="E281" s="46" t="s">
        <v>339</v>
      </c>
      <c r="F281" s="46" t="s">
        <v>148</v>
      </c>
      <c r="G281" s="4" t="s">
        <v>119</v>
      </c>
      <c r="H281" s="46" t="s">
        <v>119</v>
      </c>
      <c r="I281" s="56" t="s">
        <v>25</v>
      </c>
      <c r="J281" s="34">
        <v>743000</v>
      </c>
      <c r="K281" s="33"/>
      <c r="L281" s="19"/>
    </row>
    <row r="282" spans="1:12" ht="24.75" hidden="1" customHeight="1" x14ac:dyDescent="0.15">
      <c r="A282" s="18"/>
      <c r="B282" s="69" t="str">
        <f t="shared" si="4"/>
        <v>02/2026</v>
      </c>
      <c r="C282" s="9">
        <v>46059</v>
      </c>
      <c r="D282" s="8" t="s">
        <v>219</v>
      </c>
      <c r="E282" s="46" t="s">
        <v>310</v>
      </c>
      <c r="F282" s="46" t="s">
        <v>309</v>
      </c>
      <c r="G282" s="4" t="s">
        <v>220</v>
      </c>
      <c r="H282" s="46" t="s">
        <v>363</v>
      </c>
      <c r="I282" s="56" t="s">
        <v>25</v>
      </c>
      <c r="J282" s="35"/>
      <c r="K282" s="32">
        <v>766.08</v>
      </c>
      <c r="L282" s="19"/>
    </row>
    <row r="283" spans="1:12" ht="24.75" hidden="1" customHeight="1" x14ac:dyDescent="0.15">
      <c r="A283" s="18"/>
      <c r="B283" s="69" t="str">
        <f t="shared" si="4"/>
        <v>02/2026</v>
      </c>
      <c r="C283" s="9">
        <v>46059</v>
      </c>
      <c r="D283" s="47" t="s">
        <v>245</v>
      </c>
      <c r="E283" s="46" t="s">
        <v>311</v>
      </c>
      <c r="F283" s="46" t="s">
        <v>319</v>
      </c>
      <c r="G283" s="4" t="s">
        <v>189</v>
      </c>
      <c r="H283" s="46" t="s">
        <v>362</v>
      </c>
      <c r="I283" s="56" t="s">
        <v>25</v>
      </c>
      <c r="J283" s="34"/>
      <c r="K283" s="33">
        <v>500</v>
      </c>
      <c r="L283" s="19"/>
    </row>
    <row r="284" spans="1:12" ht="24.75" hidden="1" customHeight="1" x14ac:dyDescent="0.15">
      <c r="A284" s="18">
        <v>0</v>
      </c>
      <c r="B284" s="69" t="str">
        <f t="shared" si="4"/>
        <v>02/2026</v>
      </c>
      <c r="C284" s="9">
        <v>46059</v>
      </c>
      <c r="D284" s="47" t="s">
        <v>229</v>
      </c>
      <c r="E284" s="46" t="s">
        <v>310</v>
      </c>
      <c r="F284" s="46" t="s">
        <v>309</v>
      </c>
      <c r="G284" s="4" t="s">
        <v>230</v>
      </c>
      <c r="H284" s="46" t="s">
        <v>363</v>
      </c>
      <c r="I284" s="56" t="s">
        <v>25</v>
      </c>
      <c r="J284" s="34"/>
      <c r="K284" s="33">
        <v>962.51</v>
      </c>
      <c r="L284" s="19"/>
    </row>
    <row r="285" spans="1:12" ht="24.75" hidden="1" customHeight="1" x14ac:dyDescent="0.15">
      <c r="A285" s="18"/>
      <c r="B285" s="69" t="str">
        <f t="shared" si="4"/>
        <v>02/2026</v>
      </c>
      <c r="C285" s="9">
        <v>46059</v>
      </c>
      <c r="D285" s="47" t="s">
        <v>80</v>
      </c>
      <c r="E285" s="46" t="s">
        <v>314</v>
      </c>
      <c r="F285" s="46" t="s">
        <v>331</v>
      </c>
      <c r="G285" s="4" t="s">
        <v>81</v>
      </c>
      <c r="H285" s="46" t="s">
        <v>24</v>
      </c>
      <c r="I285" s="56" t="s">
        <v>25</v>
      </c>
      <c r="J285" s="34"/>
      <c r="K285" s="33">
        <v>3500</v>
      </c>
      <c r="L285" s="19"/>
    </row>
    <row r="286" spans="1:12" ht="24.75" hidden="1" customHeight="1" x14ac:dyDescent="0.15">
      <c r="A286" s="18"/>
      <c r="B286" s="69" t="str">
        <f t="shared" si="4"/>
        <v>02/2026</v>
      </c>
      <c r="C286" s="9">
        <v>46059</v>
      </c>
      <c r="D286" s="47" t="s">
        <v>169</v>
      </c>
      <c r="E286" s="46" t="s">
        <v>311</v>
      </c>
      <c r="F286" s="46" t="s">
        <v>319</v>
      </c>
      <c r="G286" s="4" t="s">
        <v>123</v>
      </c>
      <c r="H286" s="46" t="s">
        <v>362</v>
      </c>
      <c r="I286" s="56" t="s">
        <v>25</v>
      </c>
      <c r="J286" s="34"/>
      <c r="K286" s="33">
        <v>1350</v>
      </c>
      <c r="L286" s="19"/>
    </row>
    <row r="287" spans="1:12" ht="24.75" hidden="1" customHeight="1" x14ac:dyDescent="0.15">
      <c r="A287" s="18"/>
      <c r="B287" s="69" t="str">
        <f t="shared" si="4"/>
        <v>02/2026</v>
      </c>
      <c r="C287" s="9">
        <v>46059</v>
      </c>
      <c r="D287" s="47" t="s">
        <v>227</v>
      </c>
      <c r="E287" s="46" t="s">
        <v>310</v>
      </c>
      <c r="F287" s="46" t="s">
        <v>309</v>
      </c>
      <c r="G287" s="4" t="s">
        <v>228</v>
      </c>
      <c r="H287" s="46" t="s">
        <v>363</v>
      </c>
      <c r="I287" s="56" t="s">
        <v>25</v>
      </c>
      <c r="J287" s="34"/>
      <c r="K287" s="33">
        <v>690.83</v>
      </c>
      <c r="L287" s="19"/>
    </row>
    <row r="288" spans="1:12" ht="24.75" hidden="1" customHeight="1" x14ac:dyDescent="0.15">
      <c r="A288" s="18"/>
      <c r="B288" s="69" t="str">
        <f t="shared" si="4"/>
        <v>02/2026</v>
      </c>
      <c r="C288" s="9">
        <v>46059</v>
      </c>
      <c r="D288" s="47" t="s">
        <v>193</v>
      </c>
      <c r="E288" s="46" t="s">
        <v>310</v>
      </c>
      <c r="F288" s="46" t="s">
        <v>99</v>
      </c>
      <c r="G288" s="4" t="s">
        <v>189</v>
      </c>
      <c r="H288" s="46" t="s">
        <v>362</v>
      </c>
      <c r="I288" s="56" t="s">
        <v>25</v>
      </c>
      <c r="J288" s="34"/>
      <c r="K288" s="33">
        <v>500</v>
      </c>
      <c r="L288" s="19"/>
    </row>
    <row r="289" spans="1:12" ht="24.75" hidden="1" customHeight="1" x14ac:dyDescent="0.15">
      <c r="A289" s="18"/>
      <c r="B289" s="69" t="str">
        <f t="shared" si="4"/>
        <v>02/2026</v>
      </c>
      <c r="C289" s="9">
        <v>46059</v>
      </c>
      <c r="D289" s="47" t="s">
        <v>179</v>
      </c>
      <c r="E289" s="46" t="s">
        <v>317</v>
      </c>
      <c r="F289" s="46" t="s">
        <v>34</v>
      </c>
      <c r="G289" s="4" t="s">
        <v>34</v>
      </c>
      <c r="H289" s="37" t="s">
        <v>24</v>
      </c>
      <c r="I289" s="56" t="s">
        <v>25</v>
      </c>
      <c r="J289" s="34"/>
      <c r="K289" s="32">
        <v>4950</v>
      </c>
      <c r="L289" s="19"/>
    </row>
    <row r="290" spans="1:12" ht="24.75" hidden="1" customHeight="1" x14ac:dyDescent="0.15">
      <c r="A290" s="18"/>
      <c r="B290" s="69" t="str">
        <f t="shared" si="4"/>
        <v>02/2026</v>
      </c>
      <c r="C290" s="9">
        <v>46059</v>
      </c>
      <c r="D290" s="47" t="s">
        <v>33</v>
      </c>
      <c r="E290" s="46" t="s">
        <v>310</v>
      </c>
      <c r="F290" s="46" t="s">
        <v>308</v>
      </c>
      <c r="G290" s="4" t="s">
        <v>348</v>
      </c>
      <c r="H290" s="46" t="s">
        <v>363</v>
      </c>
      <c r="I290" s="56" t="s">
        <v>25</v>
      </c>
      <c r="J290" s="34"/>
      <c r="K290" s="33">
        <v>403143.08</v>
      </c>
      <c r="L290" s="19"/>
    </row>
    <row r="291" spans="1:12" ht="24.75" hidden="1" customHeight="1" x14ac:dyDescent="0.15">
      <c r="A291" s="18"/>
      <c r="B291" s="69" t="str">
        <f t="shared" si="4"/>
        <v>02/2026</v>
      </c>
      <c r="C291" s="9">
        <v>46059</v>
      </c>
      <c r="D291" s="8" t="s">
        <v>33</v>
      </c>
      <c r="E291" s="46" t="s">
        <v>310</v>
      </c>
      <c r="F291" s="46" t="s">
        <v>308</v>
      </c>
      <c r="G291" s="4" t="s">
        <v>348</v>
      </c>
      <c r="H291" s="46" t="s">
        <v>364</v>
      </c>
      <c r="I291" s="56" t="s">
        <v>25</v>
      </c>
      <c r="J291" s="34"/>
      <c r="K291" s="32">
        <v>135853.47</v>
      </c>
      <c r="L291" s="19"/>
    </row>
    <row r="292" spans="1:12" ht="24.75" hidden="1" customHeight="1" x14ac:dyDescent="0.15">
      <c r="A292" s="18">
        <v>0</v>
      </c>
      <c r="B292" s="69" t="str">
        <f t="shared" si="4"/>
        <v>02/2026</v>
      </c>
      <c r="C292" s="9">
        <v>46059</v>
      </c>
      <c r="D292" s="8" t="s">
        <v>33</v>
      </c>
      <c r="E292" s="46" t="s">
        <v>310</v>
      </c>
      <c r="F292" s="46" t="s">
        <v>308</v>
      </c>
      <c r="G292" s="4" t="s">
        <v>348</v>
      </c>
      <c r="H292" s="46" t="s">
        <v>367</v>
      </c>
      <c r="I292" s="56" t="s">
        <v>25</v>
      </c>
      <c r="J292" s="35"/>
      <c r="K292" s="33">
        <v>12504.26</v>
      </c>
      <c r="L292" s="19"/>
    </row>
    <row r="293" spans="1:12" ht="24.75" hidden="1" customHeight="1" x14ac:dyDescent="0.15">
      <c r="A293" s="18"/>
      <c r="B293" s="69" t="str">
        <f t="shared" si="4"/>
        <v>02/2026</v>
      </c>
      <c r="C293" s="9">
        <v>46059</v>
      </c>
      <c r="D293" s="47" t="s">
        <v>68</v>
      </c>
      <c r="E293" s="46" t="s">
        <v>311</v>
      </c>
      <c r="F293" s="46" t="s">
        <v>312</v>
      </c>
      <c r="G293" s="4" t="s">
        <v>302</v>
      </c>
      <c r="H293" s="46" t="s">
        <v>364</v>
      </c>
      <c r="I293" s="56" t="s">
        <v>25</v>
      </c>
      <c r="J293" s="34"/>
      <c r="K293" s="33">
        <v>268.38</v>
      </c>
      <c r="L293" s="19"/>
    </row>
    <row r="294" spans="1:12" ht="24.75" hidden="1" customHeight="1" x14ac:dyDescent="0.15">
      <c r="A294" s="18"/>
      <c r="B294" s="69" t="str">
        <f t="shared" si="4"/>
        <v>02/2026</v>
      </c>
      <c r="C294" s="9">
        <v>46059</v>
      </c>
      <c r="D294" s="47" t="s">
        <v>68</v>
      </c>
      <c r="E294" s="46" t="s">
        <v>311</v>
      </c>
      <c r="F294" s="46" t="s">
        <v>312</v>
      </c>
      <c r="G294" s="4" t="s">
        <v>303</v>
      </c>
      <c r="H294" s="46" t="s">
        <v>363</v>
      </c>
      <c r="I294" s="56" t="s">
        <v>25</v>
      </c>
      <c r="J294" s="34"/>
      <c r="K294" s="33">
        <v>812.74</v>
      </c>
      <c r="L294" s="19"/>
    </row>
    <row r="295" spans="1:12" ht="24.75" hidden="1" customHeight="1" x14ac:dyDescent="0.15">
      <c r="A295" s="18"/>
      <c r="B295" s="69" t="str">
        <f t="shared" si="4"/>
        <v>02/2026</v>
      </c>
      <c r="C295" s="9">
        <v>46059</v>
      </c>
      <c r="D295" s="47" t="s">
        <v>68</v>
      </c>
      <c r="E295" s="46" t="s">
        <v>311</v>
      </c>
      <c r="F295" s="46" t="s">
        <v>312</v>
      </c>
      <c r="G295" s="4" t="s">
        <v>304</v>
      </c>
      <c r="H295" s="46" t="s">
        <v>364</v>
      </c>
      <c r="I295" s="56" t="s">
        <v>25</v>
      </c>
      <c r="J295" s="35"/>
      <c r="K295" s="33">
        <v>1390.03</v>
      </c>
      <c r="L295" s="19"/>
    </row>
    <row r="296" spans="1:12" ht="24.75" hidden="1" customHeight="1" x14ac:dyDescent="0.15">
      <c r="A296" s="18"/>
      <c r="B296" s="69" t="str">
        <f t="shared" si="4"/>
        <v>02/2026</v>
      </c>
      <c r="C296" s="9">
        <v>46059</v>
      </c>
      <c r="D296" s="8" t="s">
        <v>68</v>
      </c>
      <c r="E296" s="46" t="s">
        <v>311</v>
      </c>
      <c r="F296" s="46" t="s">
        <v>312</v>
      </c>
      <c r="G296" s="4" t="s">
        <v>258</v>
      </c>
      <c r="H296" s="46" t="s">
        <v>363</v>
      </c>
      <c r="I296" s="56" t="s">
        <v>25</v>
      </c>
      <c r="J296" s="34"/>
      <c r="K296" s="33">
        <v>388.3</v>
      </c>
      <c r="L296" s="19"/>
    </row>
    <row r="297" spans="1:12" ht="24.75" hidden="1" customHeight="1" x14ac:dyDescent="0.15">
      <c r="A297" s="18"/>
      <c r="B297" s="69" t="str">
        <f t="shared" si="4"/>
        <v>02/2026</v>
      </c>
      <c r="C297" s="9">
        <v>46059</v>
      </c>
      <c r="D297" s="47" t="s">
        <v>224</v>
      </c>
      <c r="E297" s="46" t="s">
        <v>311</v>
      </c>
      <c r="F297" s="46" t="s">
        <v>319</v>
      </c>
      <c r="G297" s="4" t="s">
        <v>95</v>
      </c>
      <c r="H297" s="46" t="s">
        <v>362</v>
      </c>
      <c r="I297" s="56" t="s">
        <v>25</v>
      </c>
      <c r="J297" s="34"/>
      <c r="K297" s="33">
        <v>400</v>
      </c>
      <c r="L297" s="19"/>
    </row>
    <row r="298" spans="1:12" ht="24.75" hidden="1" customHeight="1" x14ac:dyDescent="0.15">
      <c r="A298" s="18"/>
      <c r="B298" s="69" t="str">
        <f t="shared" si="4"/>
        <v>02/2026</v>
      </c>
      <c r="C298" s="9">
        <v>46059</v>
      </c>
      <c r="D298" s="47" t="s">
        <v>225</v>
      </c>
      <c r="E298" s="46" t="s">
        <v>310</v>
      </c>
      <c r="F298" s="46" t="s">
        <v>309</v>
      </c>
      <c r="G298" s="4" t="s">
        <v>226</v>
      </c>
      <c r="H298" s="46" t="s">
        <v>363</v>
      </c>
      <c r="I298" s="56" t="s">
        <v>25</v>
      </c>
      <c r="J298" s="34"/>
      <c r="K298" s="33">
        <v>607.20000000000005</v>
      </c>
      <c r="L298" s="19"/>
    </row>
    <row r="299" spans="1:12" ht="24.75" hidden="1" customHeight="1" x14ac:dyDescent="0.15">
      <c r="A299" s="18"/>
      <c r="B299" s="69" t="str">
        <f t="shared" si="4"/>
        <v>02/2026</v>
      </c>
      <c r="C299" s="9">
        <v>46059</v>
      </c>
      <c r="D299" s="47" t="s">
        <v>67</v>
      </c>
      <c r="E299" s="46" t="s">
        <v>310</v>
      </c>
      <c r="F299" s="46" t="s">
        <v>300</v>
      </c>
      <c r="G299" s="4" t="s">
        <v>302</v>
      </c>
      <c r="H299" s="46" t="s">
        <v>364</v>
      </c>
      <c r="I299" s="56" t="s">
        <v>25</v>
      </c>
      <c r="J299" s="34"/>
      <c r="K299" s="32">
        <v>2644.77</v>
      </c>
      <c r="L299" s="19"/>
    </row>
    <row r="300" spans="1:12" ht="24.75" hidden="1" customHeight="1" x14ac:dyDescent="0.15">
      <c r="A300" s="18">
        <v>0</v>
      </c>
      <c r="B300" s="69" t="str">
        <f t="shared" si="4"/>
        <v>02/2026</v>
      </c>
      <c r="C300" s="9">
        <v>46059</v>
      </c>
      <c r="D300" s="47" t="s">
        <v>67</v>
      </c>
      <c r="E300" s="46" t="s">
        <v>310</v>
      </c>
      <c r="F300" s="46" t="s">
        <v>300</v>
      </c>
      <c r="G300" s="4" t="s">
        <v>303</v>
      </c>
      <c r="H300" s="46" t="s">
        <v>363</v>
      </c>
      <c r="I300" s="56" t="s">
        <v>25</v>
      </c>
      <c r="J300" s="34"/>
      <c r="K300" s="33">
        <v>4468.6400000000003</v>
      </c>
      <c r="L300" s="19"/>
    </row>
    <row r="301" spans="1:12" ht="24.75" hidden="1" customHeight="1" x14ac:dyDescent="0.15">
      <c r="A301" s="18"/>
      <c r="B301" s="69" t="str">
        <f t="shared" si="4"/>
        <v>02/2026</v>
      </c>
      <c r="C301" s="9">
        <v>46059</v>
      </c>
      <c r="D301" s="47" t="s">
        <v>67</v>
      </c>
      <c r="E301" s="46" t="s">
        <v>310</v>
      </c>
      <c r="F301" s="46" t="s">
        <v>300</v>
      </c>
      <c r="G301" s="4" t="s">
        <v>304</v>
      </c>
      <c r="H301" s="46" t="s">
        <v>364</v>
      </c>
      <c r="I301" s="56" t="s">
        <v>25</v>
      </c>
      <c r="J301" s="34"/>
      <c r="K301" s="33">
        <v>9125.6200000000008</v>
      </c>
      <c r="L301" s="19"/>
    </row>
    <row r="302" spans="1:12" ht="24.75" hidden="1" customHeight="1" x14ac:dyDescent="0.15">
      <c r="A302" s="18"/>
      <c r="B302" s="69" t="str">
        <f t="shared" si="4"/>
        <v>02/2026</v>
      </c>
      <c r="C302" s="9">
        <v>46059</v>
      </c>
      <c r="D302" s="8" t="s">
        <v>67</v>
      </c>
      <c r="E302" s="46" t="s">
        <v>310</v>
      </c>
      <c r="F302" s="46" t="s">
        <v>300</v>
      </c>
      <c r="G302" s="4" t="s">
        <v>258</v>
      </c>
      <c r="H302" s="46" t="s">
        <v>363</v>
      </c>
      <c r="I302" s="56" t="s">
        <v>25</v>
      </c>
      <c r="J302" s="34"/>
      <c r="K302" s="33">
        <v>4288.29</v>
      </c>
      <c r="L302" s="19"/>
    </row>
    <row r="303" spans="1:12" ht="24.75" hidden="1" customHeight="1" x14ac:dyDescent="0.15">
      <c r="A303" s="18"/>
      <c r="B303" s="69" t="str">
        <f t="shared" si="4"/>
        <v>02/2026</v>
      </c>
      <c r="C303" s="9">
        <v>46059</v>
      </c>
      <c r="D303" s="47" t="s">
        <v>237</v>
      </c>
      <c r="E303" s="46" t="s">
        <v>321</v>
      </c>
      <c r="F303" s="46" t="s">
        <v>322</v>
      </c>
      <c r="G303" s="4" t="s">
        <v>305</v>
      </c>
      <c r="H303" s="37" t="s">
        <v>24</v>
      </c>
      <c r="I303" s="56" t="s">
        <v>25</v>
      </c>
      <c r="J303" s="34"/>
      <c r="K303" s="33">
        <v>1284</v>
      </c>
      <c r="L303" s="19"/>
    </row>
    <row r="304" spans="1:12" ht="24.75" hidden="1" customHeight="1" x14ac:dyDescent="0.15">
      <c r="A304" s="18"/>
      <c r="B304" s="69" t="str">
        <f t="shared" si="4"/>
        <v>02/2026</v>
      </c>
      <c r="C304" s="9">
        <v>46059</v>
      </c>
      <c r="D304" s="47" t="s">
        <v>237</v>
      </c>
      <c r="E304" s="46" t="s">
        <v>321</v>
      </c>
      <c r="F304" s="46" t="s">
        <v>322</v>
      </c>
      <c r="G304" s="4" t="s">
        <v>305</v>
      </c>
      <c r="H304" s="37" t="s">
        <v>24</v>
      </c>
      <c r="I304" s="56" t="s">
        <v>25</v>
      </c>
      <c r="J304" s="34"/>
      <c r="K304" s="32">
        <v>1286.46</v>
      </c>
      <c r="L304" s="19"/>
    </row>
    <row r="305" spans="1:12" ht="24.75" hidden="1" customHeight="1" x14ac:dyDescent="0.15">
      <c r="A305" s="18"/>
      <c r="B305" s="69" t="str">
        <f t="shared" si="4"/>
        <v>02/2026</v>
      </c>
      <c r="C305" s="9">
        <v>46059</v>
      </c>
      <c r="D305" s="47" t="s">
        <v>112</v>
      </c>
      <c r="E305" s="46" t="s">
        <v>314</v>
      </c>
      <c r="F305" s="46" t="s">
        <v>360</v>
      </c>
      <c r="G305" s="4" t="s">
        <v>161</v>
      </c>
      <c r="H305" s="37" t="s">
        <v>24</v>
      </c>
      <c r="I305" s="56" t="s">
        <v>25</v>
      </c>
      <c r="J305" s="34"/>
      <c r="K305" s="33">
        <v>263.14999999999998</v>
      </c>
      <c r="L305" s="19"/>
    </row>
    <row r="306" spans="1:12" ht="24.75" hidden="1" customHeight="1" x14ac:dyDescent="0.15">
      <c r="A306" s="18"/>
      <c r="B306" s="69" t="str">
        <f t="shared" si="4"/>
        <v>02/2026</v>
      </c>
      <c r="C306" s="9">
        <v>46059</v>
      </c>
      <c r="D306" s="47" t="s">
        <v>112</v>
      </c>
      <c r="E306" s="46" t="s">
        <v>314</v>
      </c>
      <c r="F306" s="46" t="s">
        <v>360</v>
      </c>
      <c r="G306" s="4" t="s">
        <v>194</v>
      </c>
      <c r="H306" s="37" t="s">
        <v>24</v>
      </c>
      <c r="I306" s="56" t="s">
        <v>25</v>
      </c>
      <c r="J306" s="34"/>
      <c r="K306" s="32">
        <v>6209.7</v>
      </c>
      <c r="L306" s="19"/>
    </row>
    <row r="307" spans="1:12" ht="24.75" hidden="1" customHeight="1" x14ac:dyDescent="0.15">
      <c r="A307" s="18">
        <v>0</v>
      </c>
      <c r="B307" s="69" t="str">
        <f t="shared" si="4"/>
        <v>02/2026</v>
      </c>
      <c r="C307" s="9">
        <v>46059</v>
      </c>
      <c r="D307" s="47" t="s">
        <v>32</v>
      </c>
      <c r="E307" s="46" t="s">
        <v>311</v>
      </c>
      <c r="F307" s="46" t="s">
        <v>146</v>
      </c>
      <c r="G307" s="4" t="s">
        <v>38</v>
      </c>
      <c r="H307" s="46" t="s">
        <v>363</v>
      </c>
      <c r="I307" s="56" t="s">
        <v>25</v>
      </c>
      <c r="J307" s="35"/>
      <c r="K307" s="33">
        <v>68511.3</v>
      </c>
      <c r="L307" s="19"/>
    </row>
    <row r="308" spans="1:12" ht="24.75" hidden="1" customHeight="1" x14ac:dyDescent="0.15">
      <c r="A308" s="18"/>
      <c r="B308" s="69" t="str">
        <f t="shared" si="4"/>
        <v>02/2026</v>
      </c>
      <c r="C308" s="9">
        <v>46059</v>
      </c>
      <c r="D308" s="8" t="s">
        <v>32</v>
      </c>
      <c r="E308" s="46" t="s">
        <v>311</v>
      </c>
      <c r="F308" s="46" t="s">
        <v>146</v>
      </c>
      <c r="G308" s="4" t="s">
        <v>38</v>
      </c>
      <c r="H308" s="46" t="s">
        <v>364</v>
      </c>
      <c r="I308" s="56" t="s">
        <v>25</v>
      </c>
      <c r="J308" s="34"/>
      <c r="K308" s="32">
        <v>42786.98</v>
      </c>
      <c r="L308" s="19"/>
    </row>
    <row r="309" spans="1:12" ht="24.75" hidden="1" customHeight="1" x14ac:dyDescent="0.15">
      <c r="A309" s="18"/>
      <c r="B309" s="69" t="str">
        <f t="shared" si="4"/>
        <v>02/2026</v>
      </c>
      <c r="C309" s="9">
        <v>46059</v>
      </c>
      <c r="D309" s="8" t="s">
        <v>83</v>
      </c>
      <c r="E309" s="46" t="s">
        <v>313</v>
      </c>
      <c r="F309" s="46" t="s">
        <v>315</v>
      </c>
      <c r="G309" s="4" t="s">
        <v>253</v>
      </c>
      <c r="H309" s="37" t="s">
        <v>24</v>
      </c>
      <c r="I309" s="56" t="s">
        <v>25</v>
      </c>
      <c r="J309" s="34"/>
      <c r="K309" s="33">
        <v>1631.59</v>
      </c>
      <c r="L309" s="19"/>
    </row>
    <row r="310" spans="1:12" ht="24.75" hidden="1" customHeight="1" x14ac:dyDescent="0.15">
      <c r="A310" s="18"/>
      <c r="B310" s="69" t="str">
        <f t="shared" si="4"/>
        <v>02/2026</v>
      </c>
      <c r="C310" s="9">
        <v>46059</v>
      </c>
      <c r="D310" s="47" t="s">
        <v>60</v>
      </c>
      <c r="E310" s="46" t="s">
        <v>317</v>
      </c>
      <c r="F310" s="46" t="s">
        <v>127</v>
      </c>
      <c r="G310" s="4" t="s">
        <v>62</v>
      </c>
      <c r="H310" s="37" t="s">
        <v>24</v>
      </c>
      <c r="I310" s="56" t="s">
        <v>25</v>
      </c>
      <c r="J310" s="34"/>
      <c r="K310" s="32">
        <v>5300</v>
      </c>
      <c r="L310" s="19"/>
    </row>
    <row r="311" spans="1:12" ht="24.75" hidden="1" customHeight="1" x14ac:dyDescent="0.15">
      <c r="A311" s="18"/>
      <c r="B311" s="69" t="str">
        <f t="shared" si="4"/>
        <v>02/2026</v>
      </c>
      <c r="C311" s="9">
        <v>46059</v>
      </c>
      <c r="D311" s="47" t="s">
        <v>83</v>
      </c>
      <c r="E311" s="46" t="s">
        <v>313</v>
      </c>
      <c r="F311" s="46" t="s">
        <v>315</v>
      </c>
      <c r="G311" s="4" t="s">
        <v>252</v>
      </c>
      <c r="H311" s="37" t="s">
        <v>24</v>
      </c>
      <c r="I311" s="56" t="s">
        <v>25</v>
      </c>
      <c r="J311" s="34"/>
      <c r="K311" s="32">
        <v>6542.29</v>
      </c>
      <c r="L311" s="19"/>
    </row>
    <row r="312" spans="1:12" ht="24.75" hidden="1" customHeight="1" x14ac:dyDescent="0.15">
      <c r="A312" s="18"/>
      <c r="B312" s="69" t="str">
        <f t="shared" si="4"/>
        <v>02/2026</v>
      </c>
      <c r="C312" s="9">
        <v>46059</v>
      </c>
      <c r="D312" s="47" t="s">
        <v>98</v>
      </c>
      <c r="E312" s="46" t="s">
        <v>324</v>
      </c>
      <c r="F312" s="46" t="s">
        <v>301</v>
      </c>
      <c r="G312" s="4" t="s">
        <v>222</v>
      </c>
      <c r="H312" s="37" t="s">
        <v>24</v>
      </c>
      <c r="I312" s="56" t="s">
        <v>25</v>
      </c>
      <c r="J312" s="34"/>
      <c r="K312" s="32">
        <v>13.5</v>
      </c>
      <c r="L312" s="19"/>
    </row>
    <row r="313" spans="1:12" ht="24.75" hidden="1" customHeight="1" x14ac:dyDescent="0.15">
      <c r="A313" s="18"/>
      <c r="B313" s="69" t="str">
        <f t="shared" si="4"/>
        <v>02/2026</v>
      </c>
      <c r="C313" s="9">
        <v>46060</v>
      </c>
      <c r="D313" s="47" t="s">
        <v>254</v>
      </c>
      <c r="E313" s="46" t="s">
        <v>339</v>
      </c>
      <c r="F313" s="46" t="s">
        <v>342</v>
      </c>
      <c r="G313" s="4" t="s">
        <v>254</v>
      </c>
      <c r="H313" s="37" t="s">
        <v>365</v>
      </c>
      <c r="I313" s="56" t="s">
        <v>25</v>
      </c>
      <c r="J313" s="34"/>
      <c r="K313" s="32">
        <v>16666</v>
      </c>
      <c r="L313" s="19"/>
    </row>
    <row r="314" spans="1:12" ht="24.75" hidden="1" customHeight="1" x14ac:dyDescent="0.15">
      <c r="A314" s="18"/>
      <c r="B314" s="69" t="str">
        <f t="shared" si="4"/>
        <v>02/2026</v>
      </c>
      <c r="C314" s="9">
        <v>46062</v>
      </c>
      <c r="D314" s="47" t="s">
        <v>347</v>
      </c>
      <c r="E314" s="46" t="s">
        <v>324</v>
      </c>
      <c r="F314" s="46" t="s">
        <v>353</v>
      </c>
      <c r="G314" s="4" t="s">
        <v>354</v>
      </c>
      <c r="H314" s="37" t="s">
        <v>24</v>
      </c>
      <c r="I314" s="56" t="s">
        <v>25</v>
      </c>
      <c r="J314" s="35">
        <v>27835.46</v>
      </c>
      <c r="K314" s="33"/>
      <c r="L314" s="19"/>
    </row>
    <row r="315" spans="1:12" ht="24.75" hidden="1" customHeight="1" x14ac:dyDescent="0.15">
      <c r="A315" s="18">
        <v>0</v>
      </c>
      <c r="B315" s="69" t="str">
        <f t="shared" si="4"/>
        <v>02/2026</v>
      </c>
      <c r="C315" s="9">
        <v>46062</v>
      </c>
      <c r="D315" s="8" t="s">
        <v>178</v>
      </c>
      <c r="E315" s="46" t="s">
        <v>313</v>
      </c>
      <c r="F315" s="46" t="s">
        <v>361</v>
      </c>
      <c r="G315" s="4" t="s">
        <v>326</v>
      </c>
      <c r="H315" s="37" t="s">
        <v>24</v>
      </c>
      <c r="I315" s="56" t="s">
        <v>25</v>
      </c>
      <c r="J315" s="34"/>
      <c r="K315" s="32">
        <v>299</v>
      </c>
      <c r="L315" s="19"/>
    </row>
    <row r="316" spans="1:12" ht="24.75" hidden="1" customHeight="1" x14ac:dyDescent="0.15">
      <c r="A316" s="18"/>
      <c r="B316" s="69" t="str">
        <f t="shared" si="4"/>
        <v>02/2026</v>
      </c>
      <c r="C316" s="9">
        <v>46062</v>
      </c>
      <c r="D316" s="47" t="s">
        <v>78</v>
      </c>
      <c r="E316" s="46" t="s">
        <v>311</v>
      </c>
      <c r="F316" s="46" t="s">
        <v>145</v>
      </c>
      <c r="G316" s="4" t="s">
        <v>79</v>
      </c>
      <c r="H316" s="46" t="s">
        <v>363</v>
      </c>
      <c r="I316" s="56" t="s">
        <v>25</v>
      </c>
      <c r="J316" s="34"/>
      <c r="K316" s="33">
        <v>480</v>
      </c>
      <c r="L316" s="19"/>
    </row>
    <row r="317" spans="1:12" ht="24.75" hidden="1" customHeight="1" x14ac:dyDescent="0.15">
      <c r="A317" s="18"/>
      <c r="B317" s="69" t="str">
        <f t="shared" si="4"/>
        <v>02/2026</v>
      </c>
      <c r="C317" s="9">
        <v>46062</v>
      </c>
      <c r="D317" s="47" t="s">
        <v>32</v>
      </c>
      <c r="E317" s="46" t="s">
        <v>311</v>
      </c>
      <c r="F317" s="46" t="s">
        <v>146</v>
      </c>
      <c r="G317" s="4" t="s">
        <v>38</v>
      </c>
      <c r="H317" s="46" t="s">
        <v>363</v>
      </c>
      <c r="I317" s="56" t="s">
        <v>25</v>
      </c>
      <c r="J317" s="34"/>
      <c r="K317" s="33">
        <v>220.32</v>
      </c>
      <c r="L317" s="19"/>
    </row>
    <row r="318" spans="1:12" ht="24.75" hidden="1" customHeight="1" x14ac:dyDescent="0.15">
      <c r="A318" s="18"/>
      <c r="B318" s="69" t="str">
        <f t="shared" si="4"/>
        <v>02/2026</v>
      </c>
      <c r="C318" s="9">
        <v>46062</v>
      </c>
      <c r="D318" s="8" t="s">
        <v>198</v>
      </c>
      <c r="E318" s="46" t="s">
        <v>314</v>
      </c>
      <c r="F318" s="46" t="s">
        <v>86</v>
      </c>
      <c r="G318" s="4" t="s">
        <v>244</v>
      </c>
      <c r="H318" s="46" t="s">
        <v>24</v>
      </c>
      <c r="I318" s="56" t="s">
        <v>25</v>
      </c>
      <c r="J318" s="35"/>
      <c r="K318" s="33">
        <v>2103.3200000000002</v>
      </c>
      <c r="L318" s="19"/>
    </row>
    <row r="319" spans="1:12" ht="24.75" hidden="1" customHeight="1" x14ac:dyDescent="0.15">
      <c r="A319" s="18"/>
      <c r="B319" s="69" t="str">
        <f t="shared" si="4"/>
        <v>02/2026</v>
      </c>
      <c r="C319" s="9">
        <v>46062</v>
      </c>
      <c r="D319" s="47" t="s">
        <v>98</v>
      </c>
      <c r="E319" s="46" t="s">
        <v>324</v>
      </c>
      <c r="F319" s="46" t="s">
        <v>301</v>
      </c>
      <c r="G319" s="4" t="s">
        <v>222</v>
      </c>
      <c r="H319" s="46" t="s">
        <v>24</v>
      </c>
      <c r="I319" s="56" t="s">
        <v>25</v>
      </c>
      <c r="J319" s="34"/>
      <c r="K319" s="32">
        <v>56.53</v>
      </c>
      <c r="L319" s="19"/>
    </row>
    <row r="320" spans="1:12" ht="24.75" hidden="1" customHeight="1" x14ac:dyDescent="0.15">
      <c r="A320" s="18"/>
      <c r="B320" s="69" t="str">
        <f t="shared" si="4"/>
        <v>02/2026</v>
      </c>
      <c r="C320" s="9">
        <v>46062</v>
      </c>
      <c r="D320" s="8" t="s">
        <v>98</v>
      </c>
      <c r="E320" s="46" t="s">
        <v>324</v>
      </c>
      <c r="F320" s="46" t="s">
        <v>301</v>
      </c>
      <c r="G320" s="4" t="s">
        <v>222</v>
      </c>
      <c r="H320" s="46" t="s">
        <v>24</v>
      </c>
      <c r="I320" s="56" t="s">
        <v>25</v>
      </c>
      <c r="J320" s="34"/>
      <c r="K320" s="32">
        <v>29.9</v>
      </c>
      <c r="L320" s="19"/>
    </row>
    <row r="321" spans="1:12" ht="24.75" hidden="1" customHeight="1" x14ac:dyDescent="0.15">
      <c r="A321" s="18"/>
      <c r="B321" s="69" t="str">
        <f t="shared" si="4"/>
        <v>02/2026</v>
      </c>
      <c r="C321" s="9">
        <v>46062</v>
      </c>
      <c r="D321" s="47" t="s">
        <v>98</v>
      </c>
      <c r="E321" s="46" t="s">
        <v>324</v>
      </c>
      <c r="F321" s="46" t="s">
        <v>301</v>
      </c>
      <c r="G321" s="4" t="s">
        <v>222</v>
      </c>
      <c r="H321" s="46" t="s">
        <v>24</v>
      </c>
      <c r="I321" s="56" t="s">
        <v>25</v>
      </c>
      <c r="J321" s="34"/>
      <c r="K321" s="32">
        <v>228.8</v>
      </c>
      <c r="L321" s="19"/>
    </row>
    <row r="322" spans="1:12" ht="24.75" hidden="1" customHeight="1" x14ac:dyDescent="0.15">
      <c r="A322" s="18"/>
      <c r="B322" s="69" t="str">
        <f t="shared" si="4"/>
        <v>02/2026</v>
      </c>
      <c r="C322" s="9">
        <v>46063</v>
      </c>
      <c r="D322" s="47" t="s">
        <v>78</v>
      </c>
      <c r="E322" s="46" t="s">
        <v>311</v>
      </c>
      <c r="F322" s="46" t="s">
        <v>145</v>
      </c>
      <c r="G322" s="4" t="s">
        <v>79</v>
      </c>
      <c r="H322" s="46" t="s">
        <v>363</v>
      </c>
      <c r="I322" s="56" t="s">
        <v>25</v>
      </c>
      <c r="J322" s="34"/>
      <c r="K322" s="33">
        <v>2335.92</v>
      </c>
      <c r="L322" s="19"/>
    </row>
    <row r="323" spans="1:12" ht="24.75" hidden="1" customHeight="1" x14ac:dyDescent="0.15">
      <c r="A323" s="18">
        <v>0</v>
      </c>
      <c r="B323" s="69" t="str">
        <f t="shared" si="4"/>
        <v>02/2026</v>
      </c>
      <c r="C323" s="9">
        <v>46063</v>
      </c>
      <c r="D323" s="47" t="s">
        <v>78</v>
      </c>
      <c r="E323" s="46" t="s">
        <v>311</v>
      </c>
      <c r="F323" s="46" t="s">
        <v>145</v>
      </c>
      <c r="G323" s="4" t="s">
        <v>79</v>
      </c>
      <c r="H323" s="46" t="s">
        <v>367</v>
      </c>
      <c r="I323" s="56" t="s">
        <v>25</v>
      </c>
      <c r="J323" s="35"/>
      <c r="K323" s="32">
        <v>380</v>
      </c>
      <c r="L323" s="19"/>
    </row>
    <row r="324" spans="1:12" ht="24.75" hidden="1" customHeight="1" x14ac:dyDescent="0.15">
      <c r="A324" s="18"/>
      <c r="B324" s="69" t="str">
        <f t="shared" si="4"/>
        <v>02/2026</v>
      </c>
      <c r="C324" s="9">
        <v>46063</v>
      </c>
      <c r="D324" s="47" t="s">
        <v>53</v>
      </c>
      <c r="E324" s="46" t="s">
        <v>339</v>
      </c>
      <c r="F324" s="46" t="s">
        <v>342</v>
      </c>
      <c r="G324" s="4" t="s">
        <v>56</v>
      </c>
      <c r="H324" s="37" t="s">
        <v>365</v>
      </c>
      <c r="I324" s="56" t="s">
        <v>25</v>
      </c>
      <c r="J324" s="34"/>
      <c r="K324" s="33">
        <v>220</v>
      </c>
      <c r="L324" s="19"/>
    </row>
    <row r="325" spans="1:12" ht="24.75" hidden="1" customHeight="1" x14ac:dyDescent="0.15">
      <c r="A325" s="18"/>
      <c r="B325" s="69" t="str">
        <f t="shared" ref="B325:B340" si="5">TEXT(C325,"mm/aaaa")</f>
        <v>02/2026</v>
      </c>
      <c r="C325" s="9">
        <v>46063</v>
      </c>
      <c r="D325" s="47" t="s">
        <v>236</v>
      </c>
      <c r="E325" s="46" t="s">
        <v>313</v>
      </c>
      <c r="F325" s="46" t="s">
        <v>350</v>
      </c>
      <c r="G325" s="4" t="s">
        <v>130</v>
      </c>
      <c r="H325" s="46" t="s">
        <v>362</v>
      </c>
      <c r="I325" s="56" t="s">
        <v>25</v>
      </c>
      <c r="J325" s="34"/>
      <c r="K325" s="33">
        <v>4800</v>
      </c>
      <c r="L325" s="19"/>
    </row>
    <row r="326" spans="1:12" ht="24.75" hidden="1" customHeight="1" x14ac:dyDescent="0.15">
      <c r="A326" s="18"/>
      <c r="B326" s="69" t="str">
        <f t="shared" si="5"/>
        <v>02/2026</v>
      </c>
      <c r="C326" s="9">
        <v>46063</v>
      </c>
      <c r="D326" s="47" t="s">
        <v>32</v>
      </c>
      <c r="E326" s="46" t="s">
        <v>311</v>
      </c>
      <c r="F326" s="46" t="s">
        <v>146</v>
      </c>
      <c r="G326" s="4" t="s">
        <v>38</v>
      </c>
      <c r="H326" s="46" t="s">
        <v>363</v>
      </c>
      <c r="I326" s="56" t="s">
        <v>25</v>
      </c>
      <c r="J326" s="34"/>
      <c r="K326" s="33">
        <v>0.1</v>
      </c>
      <c r="L326" s="19"/>
    </row>
    <row r="327" spans="1:12" ht="24.75" hidden="1" customHeight="1" x14ac:dyDescent="0.15">
      <c r="A327" s="18"/>
      <c r="B327" s="69" t="str">
        <f t="shared" si="5"/>
        <v>02/2026</v>
      </c>
      <c r="C327" s="9">
        <v>46063</v>
      </c>
      <c r="D327" s="47" t="s">
        <v>59</v>
      </c>
      <c r="E327" s="46" t="s">
        <v>313</v>
      </c>
      <c r="F327" s="46" t="s">
        <v>111</v>
      </c>
      <c r="G327" s="4" t="s">
        <v>29</v>
      </c>
      <c r="H327" s="46" t="s">
        <v>362</v>
      </c>
      <c r="I327" s="56" t="s">
        <v>25</v>
      </c>
      <c r="J327" s="34"/>
      <c r="K327" s="33">
        <v>2342.65</v>
      </c>
      <c r="L327" s="19"/>
    </row>
    <row r="328" spans="1:12" ht="24.75" hidden="1" customHeight="1" x14ac:dyDescent="0.15">
      <c r="A328" s="18"/>
      <c r="B328" s="69" t="str">
        <f t="shared" si="5"/>
        <v>02/2026</v>
      </c>
      <c r="C328" s="9">
        <v>46063</v>
      </c>
      <c r="D328" s="47" t="s">
        <v>65</v>
      </c>
      <c r="E328" s="46" t="s">
        <v>313</v>
      </c>
      <c r="F328" s="46" t="s">
        <v>66</v>
      </c>
      <c r="G328" s="4" t="s">
        <v>66</v>
      </c>
      <c r="H328" s="37" t="s">
        <v>24</v>
      </c>
      <c r="I328" s="56" t="s">
        <v>25</v>
      </c>
      <c r="J328" s="34"/>
      <c r="K328" s="33">
        <v>608.20000000000005</v>
      </c>
      <c r="L328" s="19"/>
    </row>
    <row r="329" spans="1:12" ht="24.75" hidden="1" customHeight="1" x14ac:dyDescent="0.15">
      <c r="A329" s="18"/>
      <c r="B329" s="69" t="str">
        <f t="shared" si="5"/>
        <v>02/2026</v>
      </c>
      <c r="C329" s="9">
        <v>46063</v>
      </c>
      <c r="D329" s="47" t="s">
        <v>197</v>
      </c>
      <c r="E329" s="46" t="s">
        <v>311</v>
      </c>
      <c r="F329" s="46" t="s">
        <v>160</v>
      </c>
      <c r="G329" s="4" t="s">
        <v>160</v>
      </c>
      <c r="H329" s="46" t="s">
        <v>362</v>
      </c>
      <c r="I329" s="56" t="s">
        <v>25</v>
      </c>
      <c r="J329" s="35"/>
      <c r="K329" s="33">
        <v>275.52</v>
      </c>
      <c r="L329" s="19"/>
    </row>
    <row r="330" spans="1:12" ht="24.75" hidden="1" customHeight="1" x14ac:dyDescent="0.15">
      <c r="A330" s="18">
        <v>0</v>
      </c>
      <c r="B330" s="69" t="str">
        <f t="shared" si="5"/>
        <v>02/2026</v>
      </c>
      <c r="C330" s="9">
        <v>46063</v>
      </c>
      <c r="D330" s="47" t="s">
        <v>58</v>
      </c>
      <c r="E330" s="46" t="s">
        <v>339</v>
      </c>
      <c r="F330" s="46" t="s">
        <v>342</v>
      </c>
      <c r="G330" s="4" t="s">
        <v>209</v>
      </c>
      <c r="H330" s="37" t="s">
        <v>365</v>
      </c>
      <c r="I330" s="56" t="s">
        <v>25</v>
      </c>
      <c r="J330" s="34"/>
      <c r="K330" s="32">
        <v>467.94</v>
      </c>
      <c r="L330" s="19"/>
    </row>
    <row r="331" spans="1:12" ht="24.75" hidden="1" customHeight="1" x14ac:dyDescent="0.15">
      <c r="A331" s="18"/>
      <c r="B331" s="69" t="str">
        <f t="shared" si="5"/>
        <v>02/2026</v>
      </c>
      <c r="C331" s="9">
        <v>46063</v>
      </c>
      <c r="D331" s="47" t="s">
        <v>98</v>
      </c>
      <c r="E331" s="46" t="s">
        <v>324</v>
      </c>
      <c r="F331" s="46" t="s">
        <v>301</v>
      </c>
      <c r="G331" s="4" t="s">
        <v>222</v>
      </c>
      <c r="H331" s="46" t="s">
        <v>24</v>
      </c>
      <c r="I331" s="56" t="s">
        <v>25</v>
      </c>
      <c r="J331" s="34"/>
      <c r="K331" s="32">
        <v>224</v>
      </c>
      <c r="L331" s="19"/>
    </row>
    <row r="332" spans="1:12" ht="24.75" hidden="1" customHeight="1" x14ac:dyDescent="0.15">
      <c r="A332" s="18"/>
      <c r="B332" s="69" t="str">
        <f t="shared" si="5"/>
        <v>02/2026</v>
      </c>
      <c r="C332" s="9">
        <v>46063</v>
      </c>
      <c r="D332" s="47" t="s">
        <v>98</v>
      </c>
      <c r="E332" s="46" t="s">
        <v>324</v>
      </c>
      <c r="F332" s="46" t="s">
        <v>301</v>
      </c>
      <c r="G332" s="4" t="s">
        <v>222</v>
      </c>
      <c r="H332" s="46" t="s">
        <v>24</v>
      </c>
      <c r="I332" s="56" t="s">
        <v>25</v>
      </c>
      <c r="J332" s="35"/>
      <c r="K332" s="33">
        <v>129.9</v>
      </c>
      <c r="L332" s="19"/>
    </row>
    <row r="333" spans="1:12" ht="24.75" hidden="1" customHeight="1" x14ac:dyDescent="0.15">
      <c r="A333" s="18"/>
      <c r="B333" s="69" t="str">
        <f t="shared" si="5"/>
        <v>02/2026</v>
      </c>
      <c r="C333" s="9">
        <v>46063</v>
      </c>
      <c r="D333" s="47" t="s">
        <v>98</v>
      </c>
      <c r="E333" s="46" t="s">
        <v>324</v>
      </c>
      <c r="F333" s="46" t="s">
        <v>301</v>
      </c>
      <c r="G333" s="4" t="s">
        <v>222</v>
      </c>
      <c r="H333" s="37" t="s">
        <v>24</v>
      </c>
      <c r="I333" s="56" t="s">
        <v>25</v>
      </c>
      <c r="J333" s="34"/>
      <c r="K333" s="32">
        <v>11.49</v>
      </c>
      <c r="L333" s="19"/>
    </row>
    <row r="334" spans="1:12" ht="24.75" hidden="1" customHeight="1" x14ac:dyDescent="0.15">
      <c r="A334" s="18"/>
      <c r="B334" s="69" t="str">
        <f t="shared" si="5"/>
        <v>02/2026</v>
      </c>
      <c r="C334" s="9">
        <v>46064</v>
      </c>
      <c r="D334" s="47" t="s">
        <v>98</v>
      </c>
      <c r="E334" s="46" t="s">
        <v>324</v>
      </c>
      <c r="F334" s="46" t="s">
        <v>301</v>
      </c>
      <c r="G334" s="4" t="s">
        <v>222</v>
      </c>
      <c r="H334" s="37" t="s">
        <v>24</v>
      </c>
      <c r="I334" s="56" t="s">
        <v>25</v>
      </c>
      <c r="J334" s="34"/>
      <c r="K334" s="33">
        <v>5.04</v>
      </c>
      <c r="L334" s="19"/>
    </row>
    <row r="335" spans="1:12" ht="24.75" hidden="1" customHeight="1" x14ac:dyDescent="0.15">
      <c r="A335" s="18"/>
      <c r="B335" s="69" t="str">
        <f t="shared" si="5"/>
        <v>02/2026</v>
      </c>
      <c r="C335" s="9">
        <v>46064</v>
      </c>
      <c r="D335" s="47" t="s">
        <v>98</v>
      </c>
      <c r="E335" s="46" t="s">
        <v>324</v>
      </c>
      <c r="F335" s="46" t="s">
        <v>301</v>
      </c>
      <c r="G335" s="4" t="s">
        <v>222</v>
      </c>
      <c r="H335" s="37" t="s">
        <v>24</v>
      </c>
      <c r="I335" s="56" t="s">
        <v>25</v>
      </c>
      <c r="J335" s="34"/>
      <c r="K335" s="33">
        <v>3.9</v>
      </c>
      <c r="L335" s="19"/>
    </row>
    <row r="336" spans="1:12" ht="24.75" hidden="1" customHeight="1" x14ac:dyDescent="0.15">
      <c r="A336" s="18"/>
      <c r="B336" s="69" t="str">
        <f t="shared" si="5"/>
        <v>02/2026</v>
      </c>
      <c r="C336" s="9">
        <v>46064</v>
      </c>
      <c r="D336" s="47" t="s">
        <v>98</v>
      </c>
      <c r="E336" s="46" t="s">
        <v>324</v>
      </c>
      <c r="F336" s="46" t="s">
        <v>301</v>
      </c>
      <c r="G336" s="4" t="s">
        <v>222</v>
      </c>
      <c r="H336" s="37" t="s">
        <v>24</v>
      </c>
      <c r="I336" s="56" t="s">
        <v>25</v>
      </c>
      <c r="J336" s="34"/>
      <c r="K336" s="33">
        <v>6.5</v>
      </c>
      <c r="L336" s="19"/>
    </row>
    <row r="337" spans="1:12" ht="24.75" hidden="1" customHeight="1" x14ac:dyDescent="0.15">
      <c r="A337" s="18"/>
      <c r="B337" s="69" t="str">
        <f t="shared" si="5"/>
        <v>02/2026</v>
      </c>
      <c r="C337" s="9">
        <v>46065</v>
      </c>
      <c r="D337" s="47" t="s">
        <v>27</v>
      </c>
      <c r="E337" s="46" t="s">
        <v>324</v>
      </c>
      <c r="F337" s="46" t="s">
        <v>325</v>
      </c>
      <c r="G337" s="4" t="s">
        <v>218</v>
      </c>
      <c r="H337" s="37" t="s">
        <v>24</v>
      </c>
      <c r="I337" s="56" t="s">
        <v>25</v>
      </c>
      <c r="J337" s="34"/>
      <c r="K337" s="32">
        <v>5544.39</v>
      </c>
      <c r="L337" s="19"/>
    </row>
    <row r="338" spans="1:12" ht="24.75" hidden="1" customHeight="1" x14ac:dyDescent="0.15">
      <c r="A338" s="18">
        <v>0</v>
      </c>
      <c r="B338" s="69" t="str">
        <f t="shared" si="5"/>
        <v>02/2026</v>
      </c>
      <c r="C338" s="9">
        <v>46065</v>
      </c>
      <c r="D338" s="47" t="s">
        <v>27</v>
      </c>
      <c r="E338" s="46" t="s">
        <v>324</v>
      </c>
      <c r="F338" s="46" t="s">
        <v>325</v>
      </c>
      <c r="G338" s="4" t="s">
        <v>215</v>
      </c>
      <c r="H338" s="37" t="s">
        <v>24</v>
      </c>
      <c r="I338" s="56" t="s">
        <v>25</v>
      </c>
      <c r="J338" s="34"/>
      <c r="K338" s="32">
        <v>6183.56</v>
      </c>
      <c r="L338" s="19"/>
    </row>
    <row r="339" spans="1:12" ht="24.75" hidden="1" customHeight="1" x14ac:dyDescent="0.15">
      <c r="A339" s="18"/>
      <c r="B339" s="69" t="str">
        <f t="shared" si="5"/>
        <v>02/2026</v>
      </c>
      <c r="C339" s="9">
        <v>46065</v>
      </c>
      <c r="D339" s="47" t="s">
        <v>355</v>
      </c>
      <c r="E339" s="46" t="s">
        <v>339</v>
      </c>
      <c r="F339" s="46" t="s">
        <v>340</v>
      </c>
      <c r="G339" s="4" t="s">
        <v>206</v>
      </c>
      <c r="H339" s="37" t="s">
        <v>24</v>
      </c>
      <c r="I339" s="56" t="s">
        <v>25</v>
      </c>
      <c r="J339" s="34"/>
      <c r="K339" s="32">
        <v>35.450000000000003</v>
      </c>
      <c r="L339" s="19"/>
    </row>
    <row r="340" spans="1:12" ht="24.75" hidden="1" customHeight="1" x14ac:dyDescent="0.15">
      <c r="A340" s="18"/>
      <c r="B340" s="69" t="str">
        <f t="shared" si="5"/>
        <v>02/2026</v>
      </c>
      <c r="C340" s="9">
        <v>46065</v>
      </c>
      <c r="D340" s="8" t="s">
        <v>356</v>
      </c>
      <c r="E340" s="46" t="s">
        <v>339</v>
      </c>
      <c r="F340" s="46" t="s">
        <v>340</v>
      </c>
      <c r="G340" s="4" t="s">
        <v>206</v>
      </c>
      <c r="H340" s="46" t="s">
        <v>362</v>
      </c>
      <c r="I340" s="56" t="s">
        <v>25</v>
      </c>
      <c r="J340" s="34"/>
      <c r="K340" s="33">
        <v>219</v>
      </c>
      <c r="L340" s="19"/>
    </row>
    <row r="341" spans="1:12" ht="24.75" customHeight="1" x14ac:dyDescent="0.15">
      <c r="A341" s="18"/>
      <c r="B341" s="71" t="s">
        <v>359</v>
      </c>
      <c r="C341" s="72">
        <v>46073</v>
      </c>
      <c r="D341" s="73" t="s">
        <v>235</v>
      </c>
      <c r="E341" s="74" t="s">
        <v>339</v>
      </c>
      <c r="F341" s="74" t="s">
        <v>148</v>
      </c>
      <c r="G341" s="75" t="s">
        <v>119</v>
      </c>
      <c r="H341" s="76" t="s">
        <v>119</v>
      </c>
      <c r="I341" s="77" t="s">
        <v>25</v>
      </c>
      <c r="J341" s="83">
        <v>700000</v>
      </c>
      <c r="K341" s="79"/>
      <c r="L341" s="19"/>
    </row>
    <row r="342" spans="1:12" ht="24.75" customHeight="1" x14ac:dyDescent="0.15">
      <c r="A342" s="18"/>
      <c r="B342" s="71" t="s">
        <v>359</v>
      </c>
      <c r="C342" s="72">
        <v>46066</v>
      </c>
      <c r="D342" s="73" t="s">
        <v>63</v>
      </c>
      <c r="E342" s="74" t="s">
        <v>339</v>
      </c>
      <c r="F342" s="74" t="s">
        <v>341</v>
      </c>
      <c r="G342" s="75" t="s">
        <v>119</v>
      </c>
      <c r="H342" s="76" t="s">
        <v>119</v>
      </c>
      <c r="I342" s="77" t="s">
        <v>25</v>
      </c>
      <c r="J342" s="82">
        <v>35000</v>
      </c>
      <c r="K342" s="81"/>
      <c r="L342" s="19"/>
    </row>
    <row r="343" spans="1:12" ht="24.75" customHeight="1" x14ac:dyDescent="0.15">
      <c r="A343" s="18"/>
      <c r="B343" s="71" t="s">
        <v>359</v>
      </c>
      <c r="C343" s="72">
        <v>46066</v>
      </c>
      <c r="D343" s="73" t="s">
        <v>63</v>
      </c>
      <c r="E343" s="74" t="s">
        <v>339</v>
      </c>
      <c r="F343" s="74" t="s">
        <v>341</v>
      </c>
      <c r="G343" s="75" t="s">
        <v>119</v>
      </c>
      <c r="H343" s="76" t="s">
        <v>119</v>
      </c>
      <c r="I343" s="77" t="s">
        <v>25</v>
      </c>
      <c r="J343" s="83">
        <v>21000</v>
      </c>
      <c r="K343" s="79"/>
      <c r="L343" s="19"/>
    </row>
    <row r="344" spans="1:12" ht="24.75" customHeight="1" x14ac:dyDescent="0.15">
      <c r="A344" s="18"/>
      <c r="B344" s="71" t="s">
        <v>359</v>
      </c>
      <c r="C344" s="72">
        <v>46066</v>
      </c>
      <c r="D344" s="73" t="s">
        <v>63</v>
      </c>
      <c r="E344" s="75" t="s">
        <v>339</v>
      </c>
      <c r="F344" s="75" t="s">
        <v>341</v>
      </c>
      <c r="G344" s="75" t="s">
        <v>119</v>
      </c>
      <c r="H344" s="76" t="s">
        <v>119</v>
      </c>
      <c r="I344" s="77" t="s">
        <v>25</v>
      </c>
      <c r="J344" s="83">
        <v>17000</v>
      </c>
      <c r="K344" s="79"/>
      <c r="L344" s="19"/>
    </row>
    <row r="345" spans="1:12" ht="24.75" customHeight="1" x14ac:dyDescent="0.15">
      <c r="A345" s="18"/>
      <c r="B345" s="71" t="s">
        <v>359</v>
      </c>
      <c r="C345" s="72">
        <v>46071</v>
      </c>
      <c r="D345" s="73" t="s">
        <v>63</v>
      </c>
      <c r="E345" s="74" t="s">
        <v>339</v>
      </c>
      <c r="F345" s="74" t="s">
        <v>341</v>
      </c>
      <c r="G345" s="75" t="s">
        <v>119</v>
      </c>
      <c r="H345" s="76" t="s">
        <v>119</v>
      </c>
      <c r="I345" s="77" t="s">
        <v>25</v>
      </c>
      <c r="J345" s="83">
        <v>12000</v>
      </c>
      <c r="K345" s="79"/>
      <c r="L345" s="19"/>
    </row>
    <row r="346" spans="1:12" ht="24.75" customHeight="1" x14ac:dyDescent="0.15">
      <c r="A346" s="18">
        <v>0</v>
      </c>
      <c r="B346" s="71" t="s">
        <v>359</v>
      </c>
      <c r="C346" s="72">
        <v>46076</v>
      </c>
      <c r="D346" s="73" t="s">
        <v>98</v>
      </c>
      <c r="E346" s="74" t="s">
        <v>406</v>
      </c>
      <c r="F346" s="74" t="s">
        <v>407</v>
      </c>
      <c r="G346" s="75" t="s">
        <v>23</v>
      </c>
      <c r="H346" s="76" t="s">
        <v>24</v>
      </c>
      <c r="I346" s="77" t="s">
        <v>25</v>
      </c>
      <c r="J346" s="82">
        <v>0.16</v>
      </c>
      <c r="K346" s="81"/>
      <c r="L346" s="19"/>
    </row>
    <row r="347" spans="1:12" ht="24.75" hidden="1" customHeight="1" x14ac:dyDescent="0.15">
      <c r="A347" s="18"/>
      <c r="B347" s="71" t="s">
        <v>359</v>
      </c>
      <c r="C347" s="72">
        <v>46066</v>
      </c>
      <c r="D347" s="73" t="s">
        <v>67</v>
      </c>
      <c r="E347" s="74" t="s">
        <v>310</v>
      </c>
      <c r="F347" s="74" t="s">
        <v>300</v>
      </c>
      <c r="G347" s="75" t="s">
        <v>382</v>
      </c>
      <c r="H347" s="76" t="s">
        <v>364</v>
      </c>
      <c r="I347" s="77" t="s">
        <v>25</v>
      </c>
      <c r="J347" s="78"/>
      <c r="K347" s="81">
        <v>15724.26</v>
      </c>
      <c r="L347" s="19"/>
    </row>
    <row r="348" spans="1:12" ht="24.75" hidden="1" customHeight="1" x14ac:dyDescent="0.15">
      <c r="A348" s="18"/>
      <c r="B348" s="71" t="s">
        <v>359</v>
      </c>
      <c r="C348" s="72">
        <v>46066</v>
      </c>
      <c r="D348" s="73" t="s">
        <v>67</v>
      </c>
      <c r="E348" s="74" t="s">
        <v>310</v>
      </c>
      <c r="F348" s="74" t="s">
        <v>300</v>
      </c>
      <c r="G348" s="75" t="s">
        <v>381</v>
      </c>
      <c r="H348" s="76" t="s">
        <v>363</v>
      </c>
      <c r="I348" s="77" t="s">
        <v>25</v>
      </c>
      <c r="J348" s="78"/>
      <c r="K348" s="79">
        <v>13393.69</v>
      </c>
      <c r="L348" s="19"/>
    </row>
    <row r="349" spans="1:12" ht="24.75" hidden="1" customHeight="1" x14ac:dyDescent="0.15">
      <c r="A349" s="18"/>
      <c r="B349" s="71" t="s">
        <v>359</v>
      </c>
      <c r="C349" s="72">
        <v>46066</v>
      </c>
      <c r="D349" s="73" t="s">
        <v>67</v>
      </c>
      <c r="E349" s="74" t="s">
        <v>310</v>
      </c>
      <c r="F349" s="74" t="s">
        <v>300</v>
      </c>
      <c r="G349" s="75" t="s">
        <v>193</v>
      </c>
      <c r="H349" s="76" t="s">
        <v>363</v>
      </c>
      <c r="I349" s="77" t="s">
        <v>25</v>
      </c>
      <c r="J349" s="78"/>
      <c r="K349" s="79">
        <v>8169.16</v>
      </c>
      <c r="L349" s="19"/>
    </row>
    <row r="350" spans="1:12" ht="24.75" hidden="1" customHeight="1" x14ac:dyDescent="0.15">
      <c r="A350" s="18"/>
      <c r="B350" s="71" t="s">
        <v>359</v>
      </c>
      <c r="C350" s="72">
        <v>46066</v>
      </c>
      <c r="D350" s="73" t="s">
        <v>67</v>
      </c>
      <c r="E350" s="74" t="s">
        <v>310</v>
      </c>
      <c r="F350" s="74" t="s">
        <v>300</v>
      </c>
      <c r="G350" s="75" t="s">
        <v>245</v>
      </c>
      <c r="H350" s="76" t="s">
        <v>363</v>
      </c>
      <c r="I350" s="77" t="s">
        <v>25</v>
      </c>
      <c r="J350" s="78"/>
      <c r="K350" s="79">
        <v>8160.01</v>
      </c>
      <c r="L350" s="19"/>
    </row>
    <row r="351" spans="1:12" ht="24.75" hidden="1" customHeight="1" x14ac:dyDescent="0.15">
      <c r="A351" s="18"/>
      <c r="B351" s="71" t="s">
        <v>359</v>
      </c>
      <c r="C351" s="72">
        <v>46066</v>
      </c>
      <c r="D351" s="73" t="s">
        <v>110</v>
      </c>
      <c r="E351" s="74" t="s">
        <v>310</v>
      </c>
      <c r="F351" s="74" t="s">
        <v>150</v>
      </c>
      <c r="G351" s="75" t="s">
        <v>383</v>
      </c>
      <c r="H351" s="76" t="s">
        <v>363</v>
      </c>
      <c r="I351" s="77" t="s">
        <v>25</v>
      </c>
      <c r="J351" s="78"/>
      <c r="K351" s="79">
        <v>5268.59</v>
      </c>
      <c r="L351" s="19"/>
    </row>
    <row r="352" spans="1:12" ht="24.75" hidden="1" customHeight="1" x14ac:dyDescent="0.15">
      <c r="A352" s="18"/>
      <c r="B352" s="71" t="s">
        <v>359</v>
      </c>
      <c r="C352" s="72">
        <v>46066</v>
      </c>
      <c r="D352" s="73" t="s">
        <v>68</v>
      </c>
      <c r="E352" s="74" t="s">
        <v>311</v>
      </c>
      <c r="F352" s="74" t="s">
        <v>312</v>
      </c>
      <c r="G352" s="75" t="s">
        <v>381</v>
      </c>
      <c r="H352" s="76" t="s">
        <v>363</v>
      </c>
      <c r="I352" s="77" t="s">
        <v>25</v>
      </c>
      <c r="J352" s="80"/>
      <c r="K352" s="81">
        <v>4892.75</v>
      </c>
      <c r="L352" s="19"/>
    </row>
    <row r="353" spans="1:12" ht="24.75" hidden="1" customHeight="1" x14ac:dyDescent="0.15">
      <c r="A353" s="18">
        <v>0</v>
      </c>
      <c r="B353" s="71" t="s">
        <v>359</v>
      </c>
      <c r="C353" s="72">
        <v>46066</v>
      </c>
      <c r="D353" s="73" t="s">
        <v>67</v>
      </c>
      <c r="E353" s="74" t="s">
        <v>310</v>
      </c>
      <c r="F353" s="74" t="s">
        <v>300</v>
      </c>
      <c r="G353" s="75" t="s">
        <v>380</v>
      </c>
      <c r="H353" s="76" t="s">
        <v>363</v>
      </c>
      <c r="I353" s="77" t="s">
        <v>25</v>
      </c>
      <c r="J353" s="80"/>
      <c r="K353" s="81">
        <v>3820.22</v>
      </c>
      <c r="L353" s="19"/>
    </row>
    <row r="354" spans="1:12" ht="24.75" hidden="1" customHeight="1" x14ac:dyDescent="0.15">
      <c r="A354" s="18"/>
      <c r="B354" s="71" t="s">
        <v>359</v>
      </c>
      <c r="C354" s="72">
        <v>46066</v>
      </c>
      <c r="D354" s="73" t="s">
        <v>68</v>
      </c>
      <c r="E354" s="74" t="s">
        <v>311</v>
      </c>
      <c r="F354" s="74" t="s">
        <v>312</v>
      </c>
      <c r="G354" s="75" t="s">
        <v>382</v>
      </c>
      <c r="H354" s="76" t="s">
        <v>364</v>
      </c>
      <c r="I354" s="77" t="s">
        <v>25</v>
      </c>
      <c r="J354" s="78"/>
      <c r="K354" s="79">
        <v>3697.59</v>
      </c>
      <c r="L354" s="19"/>
    </row>
    <row r="355" spans="1:12" ht="24.75" customHeight="1" x14ac:dyDescent="0.15">
      <c r="A355" s="18"/>
      <c r="B355" s="71" t="s">
        <v>359</v>
      </c>
      <c r="C355" s="72">
        <v>46066</v>
      </c>
      <c r="D355" s="73" t="s">
        <v>57</v>
      </c>
      <c r="E355" s="74" t="s">
        <v>324</v>
      </c>
      <c r="F355" s="74" t="s">
        <v>325</v>
      </c>
      <c r="G355" s="75" t="s">
        <v>196</v>
      </c>
      <c r="H355" s="76" t="s">
        <v>24</v>
      </c>
      <c r="I355" s="77" t="s">
        <v>25</v>
      </c>
      <c r="J355" s="78"/>
      <c r="K355" s="81">
        <v>2951.86</v>
      </c>
      <c r="L355" s="19"/>
    </row>
    <row r="356" spans="1:12" ht="24.75" hidden="1" customHeight="1" x14ac:dyDescent="0.15">
      <c r="A356" s="18"/>
      <c r="B356" s="71" t="s">
        <v>359</v>
      </c>
      <c r="C356" s="72">
        <v>46066</v>
      </c>
      <c r="D356" s="73" t="s">
        <v>379</v>
      </c>
      <c r="E356" s="74" t="s">
        <v>310</v>
      </c>
      <c r="F356" s="74" t="s">
        <v>308</v>
      </c>
      <c r="G356" s="75" t="s">
        <v>55</v>
      </c>
      <c r="H356" s="76" t="s">
        <v>363</v>
      </c>
      <c r="I356" s="77" t="s">
        <v>25</v>
      </c>
      <c r="J356" s="80"/>
      <c r="K356" s="81">
        <v>1892.48</v>
      </c>
      <c r="L356" s="19"/>
    </row>
    <row r="357" spans="1:12" ht="24.75" hidden="1" customHeight="1" x14ac:dyDescent="0.15">
      <c r="A357" s="18"/>
      <c r="B357" s="71" t="s">
        <v>359</v>
      </c>
      <c r="C357" s="72">
        <v>46066</v>
      </c>
      <c r="D357" s="73" t="s">
        <v>68</v>
      </c>
      <c r="E357" s="74" t="s">
        <v>311</v>
      </c>
      <c r="F357" s="74" t="s">
        <v>312</v>
      </c>
      <c r="G357" s="75" t="s">
        <v>245</v>
      </c>
      <c r="H357" s="76" t="s">
        <v>363</v>
      </c>
      <c r="I357" s="77" t="s">
        <v>25</v>
      </c>
      <c r="J357" s="78"/>
      <c r="K357" s="81">
        <v>1592.53</v>
      </c>
      <c r="L357" s="19"/>
    </row>
    <row r="358" spans="1:12" ht="24.75" hidden="1" customHeight="1" x14ac:dyDescent="0.15">
      <c r="A358" s="18"/>
      <c r="B358" s="71" t="s">
        <v>359</v>
      </c>
      <c r="C358" s="72">
        <v>46066</v>
      </c>
      <c r="D358" s="73" t="s">
        <v>68</v>
      </c>
      <c r="E358" s="74" t="s">
        <v>311</v>
      </c>
      <c r="F358" s="74" t="s">
        <v>312</v>
      </c>
      <c r="G358" s="75" t="s">
        <v>193</v>
      </c>
      <c r="H358" s="76" t="s">
        <v>363</v>
      </c>
      <c r="I358" s="77" t="s">
        <v>25</v>
      </c>
      <c r="J358" s="78"/>
      <c r="K358" s="79">
        <v>1592.21</v>
      </c>
      <c r="L358" s="19"/>
    </row>
    <row r="359" spans="1:12" ht="24.75" hidden="1" customHeight="1" x14ac:dyDescent="0.15">
      <c r="A359" s="18"/>
      <c r="B359" s="71" t="s">
        <v>359</v>
      </c>
      <c r="C359" s="72">
        <v>46066</v>
      </c>
      <c r="D359" s="73" t="s">
        <v>384</v>
      </c>
      <c r="E359" s="75" t="s">
        <v>313</v>
      </c>
      <c r="F359" s="75" t="s">
        <v>338</v>
      </c>
      <c r="G359" s="75" t="s">
        <v>94</v>
      </c>
      <c r="H359" s="76" t="s">
        <v>362</v>
      </c>
      <c r="I359" s="77" t="s">
        <v>25</v>
      </c>
      <c r="J359" s="80"/>
      <c r="K359" s="81">
        <v>1391.61</v>
      </c>
      <c r="L359" s="19"/>
    </row>
    <row r="360" spans="1:12" ht="24.75" hidden="1" customHeight="1" x14ac:dyDescent="0.15">
      <c r="A360" s="18"/>
      <c r="B360" s="71" t="s">
        <v>359</v>
      </c>
      <c r="C360" s="72">
        <v>46066</v>
      </c>
      <c r="D360" s="73" t="s">
        <v>68</v>
      </c>
      <c r="E360" s="74" t="s">
        <v>311</v>
      </c>
      <c r="F360" s="74" t="s">
        <v>312</v>
      </c>
      <c r="G360" s="75" t="s">
        <v>380</v>
      </c>
      <c r="H360" s="76" t="s">
        <v>363</v>
      </c>
      <c r="I360" s="77" t="s">
        <v>25</v>
      </c>
      <c r="J360" s="78"/>
      <c r="K360" s="79">
        <v>1195.27</v>
      </c>
      <c r="L360" s="19"/>
    </row>
    <row r="361" spans="1:12" ht="24.75" customHeight="1" x14ac:dyDescent="0.15">
      <c r="A361" s="18">
        <v>0</v>
      </c>
      <c r="B361" s="71" t="s">
        <v>359</v>
      </c>
      <c r="C361" s="72">
        <v>46066</v>
      </c>
      <c r="D361" s="73" t="s">
        <v>82</v>
      </c>
      <c r="E361" s="74" t="s">
        <v>313</v>
      </c>
      <c r="F361" s="74" t="s">
        <v>315</v>
      </c>
      <c r="G361" s="75" t="s">
        <v>76</v>
      </c>
      <c r="H361" s="76" t="s">
        <v>24</v>
      </c>
      <c r="I361" s="77" t="s">
        <v>25</v>
      </c>
      <c r="J361" s="80"/>
      <c r="K361" s="81">
        <v>580.53</v>
      </c>
      <c r="L361" s="19"/>
    </row>
    <row r="362" spans="1:12" ht="24.75" hidden="1" customHeight="1" x14ac:dyDescent="0.15">
      <c r="A362" s="18"/>
      <c r="B362" s="71" t="s">
        <v>359</v>
      </c>
      <c r="C362" s="72">
        <v>46066</v>
      </c>
      <c r="D362" s="73" t="s">
        <v>376</v>
      </c>
      <c r="E362" s="74" t="s">
        <v>317</v>
      </c>
      <c r="F362" s="74" t="s">
        <v>377</v>
      </c>
      <c r="G362" s="75" t="s">
        <v>378</v>
      </c>
      <c r="H362" s="76" t="s">
        <v>362</v>
      </c>
      <c r="I362" s="77" t="s">
        <v>25</v>
      </c>
      <c r="J362" s="78"/>
      <c r="K362" s="79">
        <v>450</v>
      </c>
      <c r="L362" s="19"/>
    </row>
    <row r="363" spans="1:12" ht="24.75" hidden="1" customHeight="1" x14ac:dyDescent="0.15">
      <c r="A363" s="18"/>
      <c r="B363" s="71" t="s">
        <v>359</v>
      </c>
      <c r="C363" s="72">
        <v>46066</v>
      </c>
      <c r="D363" s="73" t="s">
        <v>375</v>
      </c>
      <c r="E363" s="74" t="s">
        <v>310</v>
      </c>
      <c r="F363" s="74" t="s">
        <v>308</v>
      </c>
      <c r="G363" s="75" t="s">
        <v>55</v>
      </c>
      <c r="H363" s="76" t="s">
        <v>363</v>
      </c>
      <c r="I363" s="77" t="s">
        <v>25</v>
      </c>
      <c r="J363" s="78"/>
      <c r="K363" s="79">
        <v>204.4</v>
      </c>
      <c r="L363" s="19"/>
    </row>
    <row r="364" spans="1:12" ht="24.75" customHeight="1" x14ac:dyDescent="0.15">
      <c r="A364" s="18"/>
      <c r="B364" s="71" t="s">
        <v>359</v>
      </c>
      <c r="C364" s="72">
        <v>46066</v>
      </c>
      <c r="D364" s="73" t="s">
        <v>70</v>
      </c>
      <c r="E364" s="74" t="s">
        <v>339</v>
      </c>
      <c r="F364" s="74" t="s">
        <v>342</v>
      </c>
      <c r="G364" s="75" t="s">
        <v>72</v>
      </c>
      <c r="H364" s="76" t="s">
        <v>365</v>
      </c>
      <c r="I364" s="77" t="s">
        <v>25</v>
      </c>
      <c r="J364" s="78"/>
      <c r="K364" s="79">
        <v>144.99</v>
      </c>
      <c r="L364" s="19"/>
    </row>
    <row r="365" spans="1:12" ht="24.75" customHeight="1" x14ac:dyDescent="0.15">
      <c r="A365" s="18"/>
      <c r="B365" s="71" t="s">
        <v>359</v>
      </c>
      <c r="C365" s="72">
        <v>46066</v>
      </c>
      <c r="D365" s="73" t="s">
        <v>98</v>
      </c>
      <c r="E365" s="74" t="s">
        <v>324</v>
      </c>
      <c r="F365" s="74" t="s">
        <v>301</v>
      </c>
      <c r="G365" s="75" t="s">
        <v>222</v>
      </c>
      <c r="H365" s="76" t="s">
        <v>24</v>
      </c>
      <c r="I365" s="77" t="s">
        <v>25</v>
      </c>
      <c r="J365" s="78"/>
      <c r="K365" s="79">
        <v>1.19</v>
      </c>
      <c r="L365" s="19"/>
    </row>
    <row r="366" spans="1:12" ht="24.75" hidden="1" customHeight="1" x14ac:dyDescent="0.15">
      <c r="A366" s="18"/>
      <c r="B366" s="71" t="s">
        <v>359</v>
      </c>
      <c r="C366" s="72">
        <v>46066</v>
      </c>
      <c r="D366" s="73" t="s">
        <v>32</v>
      </c>
      <c r="E366" s="74" t="s">
        <v>311</v>
      </c>
      <c r="F366" s="74" t="s">
        <v>146</v>
      </c>
      <c r="G366" s="75" t="s">
        <v>38</v>
      </c>
      <c r="H366" s="76" t="s">
        <v>362</v>
      </c>
      <c r="I366" s="77" t="s">
        <v>25</v>
      </c>
      <c r="J366" s="78"/>
      <c r="K366" s="79">
        <v>0.03</v>
      </c>
      <c r="L366" s="19"/>
    </row>
    <row r="367" spans="1:12" ht="24.75" customHeight="1" x14ac:dyDescent="0.15">
      <c r="A367" s="18"/>
      <c r="B367" s="71" t="s">
        <v>359</v>
      </c>
      <c r="C367" s="72">
        <v>46071</v>
      </c>
      <c r="D367" s="73" t="s">
        <v>74</v>
      </c>
      <c r="E367" s="75" t="s">
        <v>339</v>
      </c>
      <c r="F367" s="75" t="s">
        <v>342</v>
      </c>
      <c r="G367" s="75" t="s">
        <v>77</v>
      </c>
      <c r="H367" s="76" t="s">
        <v>365</v>
      </c>
      <c r="I367" s="77" t="s">
        <v>25</v>
      </c>
      <c r="J367" s="80"/>
      <c r="K367" s="81">
        <v>5935.11</v>
      </c>
      <c r="L367" s="19"/>
    </row>
    <row r="368" spans="1:12" ht="24.75" hidden="1" customHeight="1" x14ac:dyDescent="0.15">
      <c r="A368" s="18"/>
      <c r="B368" s="71" t="s">
        <v>359</v>
      </c>
      <c r="C368" s="72">
        <v>46071</v>
      </c>
      <c r="D368" s="73" t="s">
        <v>67</v>
      </c>
      <c r="E368" s="74" t="s">
        <v>310</v>
      </c>
      <c r="F368" s="74" t="s">
        <v>300</v>
      </c>
      <c r="G368" s="75" t="s">
        <v>389</v>
      </c>
      <c r="H368" s="76" t="s">
        <v>363</v>
      </c>
      <c r="I368" s="77" t="s">
        <v>25</v>
      </c>
      <c r="J368" s="78"/>
      <c r="K368" s="79">
        <v>3315.32</v>
      </c>
      <c r="L368" s="19"/>
    </row>
    <row r="369" spans="1:12" ht="24.75" customHeight="1" x14ac:dyDescent="0.15">
      <c r="A369" s="18">
        <v>0</v>
      </c>
      <c r="B369" s="71" t="s">
        <v>359</v>
      </c>
      <c r="C369" s="72">
        <v>46071</v>
      </c>
      <c r="D369" s="73" t="s">
        <v>83</v>
      </c>
      <c r="E369" s="74" t="s">
        <v>311</v>
      </c>
      <c r="F369" s="74" t="s">
        <v>85</v>
      </c>
      <c r="G369" s="75" t="s">
        <v>85</v>
      </c>
      <c r="H369" s="76" t="s">
        <v>24</v>
      </c>
      <c r="I369" s="77" t="s">
        <v>25</v>
      </c>
      <c r="J369" s="78"/>
      <c r="K369" s="79">
        <v>1218.1099999999999</v>
      </c>
      <c r="L369" s="19"/>
    </row>
    <row r="370" spans="1:12" ht="24.75" customHeight="1" x14ac:dyDescent="0.15">
      <c r="A370" s="18"/>
      <c r="B370" s="71" t="s">
        <v>359</v>
      </c>
      <c r="C370" s="72">
        <v>46071</v>
      </c>
      <c r="D370" s="73" t="s">
        <v>237</v>
      </c>
      <c r="E370" s="74" t="s">
        <v>317</v>
      </c>
      <c r="F370" s="74" t="s">
        <v>320</v>
      </c>
      <c r="G370" s="75" t="s">
        <v>388</v>
      </c>
      <c r="H370" s="76" t="s">
        <v>24</v>
      </c>
      <c r="I370" s="77" t="s">
        <v>25</v>
      </c>
      <c r="J370" s="78"/>
      <c r="K370" s="81">
        <v>982.4</v>
      </c>
      <c r="L370" s="19"/>
    </row>
    <row r="371" spans="1:12" ht="24.75" hidden="1" customHeight="1" x14ac:dyDescent="0.15">
      <c r="A371" s="18"/>
      <c r="B371" s="71" t="s">
        <v>359</v>
      </c>
      <c r="C371" s="72">
        <v>46071</v>
      </c>
      <c r="D371" s="73" t="s">
        <v>68</v>
      </c>
      <c r="E371" s="74" t="s">
        <v>311</v>
      </c>
      <c r="F371" s="74" t="s">
        <v>312</v>
      </c>
      <c r="G371" s="75" t="s">
        <v>389</v>
      </c>
      <c r="H371" s="76" t="s">
        <v>363</v>
      </c>
      <c r="I371" s="77" t="s">
        <v>25</v>
      </c>
      <c r="J371" s="78"/>
      <c r="K371" s="79">
        <v>863.64</v>
      </c>
      <c r="L371" s="19"/>
    </row>
    <row r="372" spans="1:12" ht="24.75" hidden="1" customHeight="1" x14ac:dyDescent="0.15">
      <c r="A372" s="18"/>
      <c r="B372" s="71" t="s">
        <v>359</v>
      </c>
      <c r="C372" s="72">
        <v>46071</v>
      </c>
      <c r="D372" s="73" t="s">
        <v>88</v>
      </c>
      <c r="E372" s="74" t="s">
        <v>313</v>
      </c>
      <c r="F372" s="74" t="s">
        <v>111</v>
      </c>
      <c r="G372" s="75" t="s">
        <v>111</v>
      </c>
      <c r="H372" s="76" t="s">
        <v>363</v>
      </c>
      <c r="I372" s="77" t="s">
        <v>25</v>
      </c>
      <c r="J372" s="80"/>
      <c r="K372" s="81">
        <v>350</v>
      </c>
      <c r="L372" s="19"/>
    </row>
    <row r="373" spans="1:12" ht="24.75" hidden="1" customHeight="1" x14ac:dyDescent="0.15">
      <c r="A373" s="18"/>
      <c r="B373" s="71" t="s">
        <v>359</v>
      </c>
      <c r="C373" s="72">
        <v>46071</v>
      </c>
      <c r="D373" s="73" t="s">
        <v>385</v>
      </c>
      <c r="E373" s="74" t="s">
        <v>314</v>
      </c>
      <c r="F373" s="74" t="s">
        <v>386</v>
      </c>
      <c r="G373" s="75" t="s">
        <v>387</v>
      </c>
      <c r="H373" s="76" t="s">
        <v>362</v>
      </c>
      <c r="I373" s="77" t="s">
        <v>25</v>
      </c>
      <c r="J373" s="78"/>
      <c r="K373" s="79">
        <v>300</v>
      </c>
      <c r="L373" s="19"/>
    </row>
    <row r="374" spans="1:12" ht="24.75" customHeight="1" x14ac:dyDescent="0.15">
      <c r="A374" s="18"/>
      <c r="B374" s="71" t="s">
        <v>359</v>
      </c>
      <c r="C374" s="72">
        <v>46071</v>
      </c>
      <c r="D374" s="73" t="s">
        <v>98</v>
      </c>
      <c r="E374" s="74" t="s">
        <v>324</v>
      </c>
      <c r="F374" s="74" t="s">
        <v>301</v>
      </c>
      <c r="G374" s="75" t="s">
        <v>222</v>
      </c>
      <c r="H374" s="76" t="s">
        <v>24</v>
      </c>
      <c r="I374" s="77" t="s">
        <v>25</v>
      </c>
      <c r="J374" s="78"/>
      <c r="K374" s="79">
        <v>30.51</v>
      </c>
      <c r="L374" s="19"/>
    </row>
    <row r="375" spans="1:12" ht="24.75" customHeight="1" x14ac:dyDescent="0.15">
      <c r="A375" s="18"/>
      <c r="B375" s="71" t="s">
        <v>359</v>
      </c>
      <c r="C375" s="72">
        <v>46071</v>
      </c>
      <c r="D375" s="73" t="s">
        <v>98</v>
      </c>
      <c r="E375" s="74" t="s">
        <v>324</v>
      </c>
      <c r="F375" s="74" t="s">
        <v>301</v>
      </c>
      <c r="G375" s="75" t="s">
        <v>222</v>
      </c>
      <c r="H375" s="76" t="s">
        <v>24</v>
      </c>
      <c r="I375" s="77" t="s">
        <v>25</v>
      </c>
      <c r="J375" s="80"/>
      <c r="K375" s="81">
        <v>13.5</v>
      </c>
      <c r="L375" s="19"/>
    </row>
    <row r="376" spans="1:12" ht="24.75" customHeight="1" x14ac:dyDescent="0.15">
      <c r="A376" s="18">
        <v>0</v>
      </c>
      <c r="B376" s="71" t="s">
        <v>359</v>
      </c>
      <c r="C376" s="72">
        <v>46072</v>
      </c>
      <c r="D376" s="73" t="s">
        <v>78</v>
      </c>
      <c r="E376" s="74" t="s">
        <v>311</v>
      </c>
      <c r="F376" s="74" t="s">
        <v>145</v>
      </c>
      <c r="G376" s="75" t="s">
        <v>79</v>
      </c>
      <c r="H376" s="76" t="s">
        <v>367</v>
      </c>
      <c r="I376" s="77" t="s">
        <v>25</v>
      </c>
      <c r="J376" s="78"/>
      <c r="K376" s="81">
        <v>786.5</v>
      </c>
      <c r="L376" s="19"/>
    </row>
    <row r="377" spans="1:12" ht="24.75" hidden="1" customHeight="1" x14ac:dyDescent="0.15">
      <c r="A377" s="18"/>
      <c r="B377" s="71" t="s">
        <v>359</v>
      </c>
      <c r="C377" s="72">
        <v>46072</v>
      </c>
      <c r="D377" s="73" t="s">
        <v>78</v>
      </c>
      <c r="E377" s="74" t="s">
        <v>311</v>
      </c>
      <c r="F377" s="74" t="s">
        <v>145</v>
      </c>
      <c r="G377" s="75" t="s">
        <v>79</v>
      </c>
      <c r="H377" s="76" t="s">
        <v>364</v>
      </c>
      <c r="I377" s="77" t="s">
        <v>25</v>
      </c>
      <c r="J377" s="78"/>
      <c r="K377" s="79">
        <v>300</v>
      </c>
      <c r="L377" s="19"/>
    </row>
    <row r="378" spans="1:12" ht="24.75" customHeight="1" x14ac:dyDescent="0.15">
      <c r="A378" s="18"/>
      <c r="B378" s="71" t="s">
        <v>359</v>
      </c>
      <c r="C378" s="72">
        <v>46072</v>
      </c>
      <c r="D378" s="73" t="s">
        <v>98</v>
      </c>
      <c r="E378" s="74" t="s">
        <v>324</v>
      </c>
      <c r="F378" s="74" t="s">
        <v>301</v>
      </c>
      <c r="G378" s="75" t="s">
        <v>222</v>
      </c>
      <c r="H378" s="76" t="s">
        <v>24</v>
      </c>
      <c r="I378" s="77" t="s">
        <v>25</v>
      </c>
      <c r="J378" s="78"/>
      <c r="K378" s="79">
        <v>5.48</v>
      </c>
      <c r="L378" s="19"/>
    </row>
    <row r="379" spans="1:12" ht="24.75" hidden="1" customHeight="1" x14ac:dyDescent="0.15">
      <c r="A379" s="18"/>
      <c r="B379" s="71" t="s">
        <v>359</v>
      </c>
      <c r="C379" s="72">
        <v>46073</v>
      </c>
      <c r="D379" s="73" t="s">
        <v>33</v>
      </c>
      <c r="E379" s="74" t="s">
        <v>310</v>
      </c>
      <c r="F379" s="74" t="s">
        <v>308</v>
      </c>
      <c r="G379" s="75" t="s">
        <v>349</v>
      </c>
      <c r="H379" s="76" t="s">
        <v>363</v>
      </c>
      <c r="I379" s="77" t="s">
        <v>25</v>
      </c>
      <c r="J379" s="78"/>
      <c r="K379" s="81">
        <v>240400.58</v>
      </c>
      <c r="L379" s="19"/>
    </row>
    <row r="380" spans="1:12" ht="24.75" hidden="1" customHeight="1" x14ac:dyDescent="0.15">
      <c r="A380" s="18"/>
      <c r="B380" s="71" t="s">
        <v>359</v>
      </c>
      <c r="C380" s="72">
        <v>46073</v>
      </c>
      <c r="D380" s="73" t="s">
        <v>33</v>
      </c>
      <c r="E380" s="74" t="s">
        <v>310</v>
      </c>
      <c r="F380" s="74" t="s">
        <v>308</v>
      </c>
      <c r="G380" s="75" t="s">
        <v>349</v>
      </c>
      <c r="H380" s="76" t="s">
        <v>364</v>
      </c>
      <c r="I380" s="77" t="s">
        <v>25</v>
      </c>
      <c r="J380" s="80"/>
      <c r="K380" s="81">
        <v>102194.05</v>
      </c>
      <c r="L380" s="19"/>
    </row>
    <row r="381" spans="1:12" ht="24.75" hidden="1" customHeight="1" x14ac:dyDescent="0.15">
      <c r="A381" s="18"/>
      <c r="B381" s="71" t="s">
        <v>359</v>
      </c>
      <c r="C381" s="72">
        <v>46073</v>
      </c>
      <c r="D381" s="73" t="s">
        <v>398</v>
      </c>
      <c r="E381" s="74" t="s">
        <v>310</v>
      </c>
      <c r="F381" s="74" t="s">
        <v>399</v>
      </c>
      <c r="G381" s="75" t="s">
        <v>400</v>
      </c>
      <c r="H381" s="76" t="s">
        <v>363</v>
      </c>
      <c r="I381" s="77" t="s">
        <v>25</v>
      </c>
      <c r="J381" s="78"/>
      <c r="K381" s="79">
        <v>60002.559999999998</v>
      </c>
      <c r="L381" s="19"/>
    </row>
    <row r="382" spans="1:12" ht="24.75" hidden="1" customHeight="1" x14ac:dyDescent="0.15">
      <c r="A382" s="18"/>
      <c r="B382" s="71" t="s">
        <v>359</v>
      </c>
      <c r="C382" s="72">
        <v>46073</v>
      </c>
      <c r="D382" s="73" t="s">
        <v>36</v>
      </c>
      <c r="E382" s="75" t="s">
        <v>311</v>
      </c>
      <c r="F382" s="75" t="s">
        <v>37</v>
      </c>
      <c r="G382" s="75" t="s">
        <v>37</v>
      </c>
      <c r="H382" s="76" t="s">
        <v>362</v>
      </c>
      <c r="I382" s="77" t="s">
        <v>25</v>
      </c>
      <c r="J382" s="80"/>
      <c r="K382" s="81">
        <v>58757.61</v>
      </c>
      <c r="L382" s="19"/>
    </row>
    <row r="383" spans="1:12" ht="24.75" hidden="1" customHeight="1" x14ac:dyDescent="0.15">
      <c r="A383" s="18"/>
      <c r="B383" s="71" t="s">
        <v>359</v>
      </c>
      <c r="C383" s="72">
        <v>46073</v>
      </c>
      <c r="D383" s="73" t="s">
        <v>36</v>
      </c>
      <c r="E383" s="74" t="s">
        <v>311</v>
      </c>
      <c r="F383" s="74" t="s">
        <v>37</v>
      </c>
      <c r="G383" s="75" t="s">
        <v>37</v>
      </c>
      <c r="H383" s="76" t="s">
        <v>362</v>
      </c>
      <c r="I383" s="77" t="s">
        <v>25</v>
      </c>
      <c r="J383" s="78"/>
      <c r="K383" s="79">
        <v>23262.92</v>
      </c>
      <c r="L383" s="19"/>
    </row>
    <row r="384" spans="1:12" ht="24.75" hidden="1" customHeight="1" x14ac:dyDescent="0.15">
      <c r="A384" s="18">
        <v>0</v>
      </c>
      <c r="B384" s="71" t="s">
        <v>359</v>
      </c>
      <c r="C384" s="72">
        <v>46073</v>
      </c>
      <c r="D384" s="73" t="s">
        <v>195</v>
      </c>
      <c r="E384" s="74" t="s">
        <v>311</v>
      </c>
      <c r="F384" s="74" t="s">
        <v>84</v>
      </c>
      <c r="G384" s="75" t="s">
        <v>84</v>
      </c>
      <c r="H384" s="76" t="s">
        <v>362</v>
      </c>
      <c r="I384" s="77" t="s">
        <v>25</v>
      </c>
      <c r="J384" s="80"/>
      <c r="K384" s="81">
        <v>18662.3</v>
      </c>
      <c r="L384" s="19"/>
    </row>
    <row r="385" spans="1:12" ht="24.75" customHeight="1" x14ac:dyDescent="0.15">
      <c r="A385" s="18"/>
      <c r="B385" s="71" t="s">
        <v>359</v>
      </c>
      <c r="C385" s="72">
        <v>46073</v>
      </c>
      <c r="D385" s="73" t="s">
        <v>167</v>
      </c>
      <c r="E385" s="74" t="s">
        <v>314</v>
      </c>
      <c r="F385" s="74" t="s">
        <v>351</v>
      </c>
      <c r="G385" s="75" t="s">
        <v>203</v>
      </c>
      <c r="H385" s="76" t="s">
        <v>371</v>
      </c>
      <c r="I385" s="77" t="s">
        <v>25</v>
      </c>
      <c r="J385" s="80"/>
      <c r="K385" s="81">
        <v>17922.439999999999</v>
      </c>
      <c r="L385" s="19"/>
    </row>
    <row r="386" spans="1:12" ht="24.75" hidden="1" customHeight="1" x14ac:dyDescent="0.15">
      <c r="A386" s="18"/>
      <c r="B386" s="71" t="s">
        <v>359</v>
      </c>
      <c r="C386" s="72">
        <v>46073</v>
      </c>
      <c r="D386" s="73" t="s">
        <v>398</v>
      </c>
      <c r="E386" s="74" t="s">
        <v>310</v>
      </c>
      <c r="F386" s="74" t="s">
        <v>399</v>
      </c>
      <c r="G386" s="75" t="s">
        <v>400</v>
      </c>
      <c r="H386" s="76" t="s">
        <v>364</v>
      </c>
      <c r="I386" s="77" t="s">
        <v>25</v>
      </c>
      <c r="J386" s="80"/>
      <c r="K386" s="81">
        <v>17668.3</v>
      </c>
      <c r="L386" s="19"/>
    </row>
    <row r="387" spans="1:12" ht="24.75" customHeight="1" x14ac:dyDescent="0.15">
      <c r="A387" s="18"/>
      <c r="B387" s="71" t="s">
        <v>359</v>
      </c>
      <c r="C387" s="72">
        <v>46073</v>
      </c>
      <c r="D387" s="73" t="s">
        <v>170</v>
      </c>
      <c r="E387" s="74" t="s">
        <v>314</v>
      </c>
      <c r="F387" s="74" t="s">
        <v>351</v>
      </c>
      <c r="G387" s="75" t="s">
        <v>107</v>
      </c>
      <c r="H387" s="76" t="s">
        <v>368</v>
      </c>
      <c r="I387" s="77" t="s">
        <v>25</v>
      </c>
      <c r="J387" s="78"/>
      <c r="K387" s="79">
        <v>16000</v>
      </c>
      <c r="L387" s="19"/>
    </row>
    <row r="388" spans="1:12" ht="24.75" customHeight="1" x14ac:dyDescent="0.15">
      <c r="A388" s="18"/>
      <c r="B388" s="71" t="s">
        <v>359</v>
      </c>
      <c r="C388" s="72">
        <v>46073</v>
      </c>
      <c r="D388" s="73" t="s">
        <v>33</v>
      </c>
      <c r="E388" s="74" t="s">
        <v>310</v>
      </c>
      <c r="F388" s="74" t="s">
        <v>308</v>
      </c>
      <c r="G388" s="75" t="s">
        <v>349</v>
      </c>
      <c r="H388" s="76" t="s">
        <v>367</v>
      </c>
      <c r="I388" s="77" t="s">
        <v>25</v>
      </c>
      <c r="J388" s="78"/>
      <c r="K388" s="79">
        <v>12471.85</v>
      </c>
      <c r="L388" s="19"/>
    </row>
    <row r="389" spans="1:12" ht="24.75" customHeight="1" x14ac:dyDescent="0.15">
      <c r="A389" s="18"/>
      <c r="B389" s="71" t="s">
        <v>359</v>
      </c>
      <c r="C389" s="72">
        <v>46073</v>
      </c>
      <c r="D389" s="73" t="s">
        <v>112</v>
      </c>
      <c r="E389" s="74" t="s">
        <v>314</v>
      </c>
      <c r="F389" s="74" t="s">
        <v>346</v>
      </c>
      <c r="G389" s="75" t="s">
        <v>393</v>
      </c>
      <c r="H389" s="76" t="s">
        <v>365</v>
      </c>
      <c r="I389" s="77" t="s">
        <v>25</v>
      </c>
      <c r="J389" s="78"/>
      <c r="K389" s="81">
        <v>11866.54</v>
      </c>
      <c r="L389" s="19"/>
    </row>
    <row r="390" spans="1:12" ht="24.75" hidden="1" customHeight="1" x14ac:dyDescent="0.15">
      <c r="A390" s="18"/>
      <c r="B390" s="71" t="s">
        <v>359</v>
      </c>
      <c r="C390" s="72">
        <v>46073</v>
      </c>
      <c r="D390" s="73" t="s">
        <v>401</v>
      </c>
      <c r="E390" s="75" t="s">
        <v>314</v>
      </c>
      <c r="F390" s="75" t="s">
        <v>351</v>
      </c>
      <c r="G390" s="75" t="s">
        <v>111</v>
      </c>
      <c r="H390" s="76" t="s">
        <v>363</v>
      </c>
      <c r="I390" s="77" t="s">
        <v>25</v>
      </c>
      <c r="J390" s="78"/>
      <c r="K390" s="79">
        <v>6591.83</v>
      </c>
      <c r="L390" s="19"/>
    </row>
    <row r="391" spans="1:12" ht="24.75" hidden="1" customHeight="1" x14ac:dyDescent="0.15">
      <c r="A391" s="18"/>
      <c r="B391" s="71" t="s">
        <v>359</v>
      </c>
      <c r="C391" s="72">
        <v>46073</v>
      </c>
      <c r="D391" s="73" t="s">
        <v>67</v>
      </c>
      <c r="E391" s="74" t="s">
        <v>310</v>
      </c>
      <c r="F391" s="74" t="s">
        <v>300</v>
      </c>
      <c r="G391" s="75" t="s">
        <v>391</v>
      </c>
      <c r="H391" s="76" t="s">
        <v>364</v>
      </c>
      <c r="I391" s="77" t="s">
        <v>25</v>
      </c>
      <c r="J391" s="78"/>
      <c r="K391" s="79">
        <v>5809.71</v>
      </c>
      <c r="L391" s="19"/>
    </row>
    <row r="392" spans="1:12" ht="24.75" hidden="1" customHeight="1" x14ac:dyDescent="0.15">
      <c r="A392" s="18">
        <v>0</v>
      </c>
      <c r="B392" s="71" t="s">
        <v>359</v>
      </c>
      <c r="C392" s="72">
        <v>46073</v>
      </c>
      <c r="D392" s="73" t="s">
        <v>110</v>
      </c>
      <c r="E392" s="74" t="s">
        <v>310</v>
      </c>
      <c r="F392" s="74" t="s">
        <v>150</v>
      </c>
      <c r="G392" s="75" t="s">
        <v>396</v>
      </c>
      <c r="H392" s="76" t="s">
        <v>364</v>
      </c>
      <c r="I392" s="77" t="s">
        <v>25</v>
      </c>
      <c r="J392" s="78"/>
      <c r="K392" s="79">
        <v>5268.59</v>
      </c>
      <c r="L392" s="19"/>
    </row>
    <row r="393" spans="1:12" ht="24.75" customHeight="1" x14ac:dyDescent="0.15">
      <c r="A393" s="18"/>
      <c r="B393" s="71" t="s">
        <v>359</v>
      </c>
      <c r="C393" s="72">
        <v>46073</v>
      </c>
      <c r="D393" s="73" t="s">
        <v>179</v>
      </c>
      <c r="E393" s="74" t="s">
        <v>317</v>
      </c>
      <c r="F393" s="74" t="s">
        <v>34</v>
      </c>
      <c r="G393" s="75" t="s">
        <v>34</v>
      </c>
      <c r="H393" s="76" t="s">
        <v>24</v>
      </c>
      <c r="I393" s="77" t="s">
        <v>25</v>
      </c>
      <c r="J393" s="78"/>
      <c r="K393" s="79">
        <v>4950</v>
      </c>
      <c r="L393" s="19"/>
    </row>
    <row r="394" spans="1:12" ht="24.75" hidden="1" customHeight="1" x14ac:dyDescent="0.15">
      <c r="A394" s="18"/>
      <c r="B394" s="71" t="s">
        <v>359</v>
      </c>
      <c r="C394" s="72">
        <v>46073</v>
      </c>
      <c r="D394" s="73" t="s">
        <v>166</v>
      </c>
      <c r="E394" s="74" t="s">
        <v>313</v>
      </c>
      <c r="F394" s="74" t="s">
        <v>345</v>
      </c>
      <c r="G394" s="75" t="s">
        <v>41</v>
      </c>
      <c r="H394" s="76" t="s">
        <v>363</v>
      </c>
      <c r="I394" s="77" t="s">
        <v>25</v>
      </c>
      <c r="J394" s="80"/>
      <c r="K394" s="81">
        <v>3749.4</v>
      </c>
      <c r="L394" s="19"/>
    </row>
    <row r="395" spans="1:12" ht="24.75" customHeight="1" x14ac:dyDescent="0.15">
      <c r="A395" s="18"/>
      <c r="B395" s="71" t="s">
        <v>359</v>
      </c>
      <c r="C395" s="72">
        <v>46073</v>
      </c>
      <c r="D395" s="73" t="s">
        <v>397</v>
      </c>
      <c r="E395" s="74" t="s">
        <v>314</v>
      </c>
      <c r="F395" s="74" t="s">
        <v>351</v>
      </c>
      <c r="G395" s="75" t="s">
        <v>30</v>
      </c>
      <c r="H395" s="76" t="s">
        <v>368</v>
      </c>
      <c r="I395" s="77" t="s">
        <v>25</v>
      </c>
      <c r="J395" s="78"/>
      <c r="K395" s="79">
        <v>3500</v>
      </c>
      <c r="L395" s="19"/>
    </row>
    <row r="396" spans="1:12" ht="24.75" customHeight="1" x14ac:dyDescent="0.15">
      <c r="A396" s="18"/>
      <c r="B396" s="71" t="s">
        <v>359</v>
      </c>
      <c r="C396" s="72">
        <v>46073</v>
      </c>
      <c r="D396" s="73" t="s">
        <v>80</v>
      </c>
      <c r="E396" s="74" t="s">
        <v>314</v>
      </c>
      <c r="F396" s="74" t="s">
        <v>331</v>
      </c>
      <c r="G396" s="75" t="s">
        <v>81</v>
      </c>
      <c r="H396" s="76" t="s">
        <v>24</v>
      </c>
      <c r="I396" s="77" t="s">
        <v>25</v>
      </c>
      <c r="J396" s="78"/>
      <c r="K396" s="79">
        <v>3500</v>
      </c>
      <c r="L396" s="19"/>
    </row>
    <row r="397" spans="1:12" ht="24.75" customHeight="1" x14ac:dyDescent="0.15">
      <c r="A397" s="18"/>
      <c r="B397" s="71" t="s">
        <v>359</v>
      </c>
      <c r="C397" s="72">
        <v>46073</v>
      </c>
      <c r="D397" s="73" t="s">
        <v>112</v>
      </c>
      <c r="E397" s="74" t="s">
        <v>314</v>
      </c>
      <c r="F397" s="74" t="s">
        <v>360</v>
      </c>
      <c r="G397" s="75" t="s">
        <v>394</v>
      </c>
      <c r="H397" s="76" t="s">
        <v>24</v>
      </c>
      <c r="I397" s="77" t="s">
        <v>25</v>
      </c>
      <c r="J397" s="80"/>
      <c r="K397" s="81">
        <v>3033.33</v>
      </c>
      <c r="L397" s="19"/>
    </row>
    <row r="398" spans="1:12" ht="24.75" hidden="1" customHeight="1" x14ac:dyDescent="0.15">
      <c r="A398" s="18"/>
      <c r="B398" s="71" t="s">
        <v>359</v>
      </c>
      <c r="C398" s="72">
        <v>46073</v>
      </c>
      <c r="D398" s="73" t="s">
        <v>67</v>
      </c>
      <c r="E398" s="74" t="s">
        <v>310</v>
      </c>
      <c r="F398" s="74" t="s">
        <v>300</v>
      </c>
      <c r="G398" s="75" t="s">
        <v>392</v>
      </c>
      <c r="H398" s="76" t="s">
        <v>363</v>
      </c>
      <c r="I398" s="77" t="s">
        <v>25</v>
      </c>
      <c r="J398" s="78"/>
      <c r="K398" s="79">
        <v>2580.83</v>
      </c>
      <c r="L398" s="19"/>
    </row>
    <row r="399" spans="1:12" ht="24.75" customHeight="1" x14ac:dyDescent="0.15">
      <c r="A399" s="18">
        <v>0</v>
      </c>
      <c r="B399" s="71" t="s">
        <v>359</v>
      </c>
      <c r="C399" s="72">
        <v>46073</v>
      </c>
      <c r="D399" s="73" t="s">
        <v>112</v>
      </c>
      <c r="E399" s="74" t="s">
        <v>314</v>
      </c>
      <c r="F399" s="74" t="s">
        <v>360</v>
      </c>
      <c r="G399" s="75" t="s">
        <v>161</v>
      </c>
      <c r="H399" s="76" t="s">
        <v>24</v>
      </c>
      <c r="I399" s="77" t="s">
        <v>25</v>
      </c>
      <c r="J399" s="78"/>
      <c r="K399" s="79">
        <v>2000</v>
      </c>
      <c r="L399" s="19"/>
    </row>
    <row r="400" spans="1:12" ht="24.75" customHeight="1" x14ac:dyDescent="0.15">
      <c r="A400" s="18"/>
      <c r="B400" s="71" t="s">
        <v>359</v>
      </c>
      <c r="C400" s="72">
        <v>46073</v>
      </c>
      <c r="D400" s="73" t="s">
        <v>167</v>
      </c>
      <c r="E400" s="74" t="s">
        <v>314</v>
      </c>
      <c r="F400" s="74" t="s">
        <v>351</v>
      </c>
      <c r="G400" s="75" t="s">
        <v>204</v>
      </c>
      <c r="H400" s="76" t="s">
        <v>371</v>
      </c>
      <c r="I400" s="77" t="s">
        <v>25</v>
      </c>
      <c r="J400" s="78"/>
      <c r="K400" s="81">
        <v>1991.38</v>
      </c>
      <c r="L400" s="19"/>
    </row>
    <row r="401" spans="1:12" ht="24.75" hidden="1" customHeight="1" x14ac:dyDescent="0.15">
      <c r="A401" s="18"/>
      <c r="B401" s="71" t="s">
        <v>359</v>
      </c>
      <c r="C401" s="72">
        <v>46073</v>
      </c>
      <c r="D401" s="73" t="s">
        <v>33</v>
      </c>
      <c r="E401" s="74" t="s">
        <v>310</v>
      </c>
      <c r="F401" s="74" t="s">
        <v>308</v>
      </c>
      <c r="G401" s="75" t="s">
        <v>402</v>
      </c>
      <c r="H401" s="76" t="s">
        <v>363</v>
      </c>
      <c r="I401" s="77" t="s">
        <v>25</v>
      </c>
      <c r="J401" s="78"/>
      <c r="K401" s="79">
        <v>1699.37</v>
      </c>
      <c r="L401" s="19"/>
    </row>
    <row r="402" spans="1:12" ht="24.75" customHeight="1" x14ac:dyDescent="0.15">
      <c r="A402" s="18"/>
      <c r="B402" s="71" t="s">
        <v>359</v>
      </c>
      <c r="C402" s="72">
        <v>46073</v>
      </c>
      <c r="D402" s="73" t="s">
        <v>112</v>
      </c>
      <c r="E402" s="74" t="s">
        <v>314</v>
      </c>
      <c r="F402" s="74" t="s">
        <v>360</v>
      </c>
      <c r="G402" s="75" t="s">
        <v>395</v>
      </c>
      <c r="H402" s="76" t="s">
        <v>24</v>
      </c>
      <c r="I402" s="77" t="s">
        <v>25</v>
      </c>
      <c r="J402" s="78"/>
      <c r="K402" s="79">
        <v>1300</v>
      </c>
      <c r="L402" s="19"/>
    </row>
    <row r="403" spans="1:12" ht="24.75" hidden="1" customHeight="1" x14ac:dyDescent="0.15">
      <c r="A403" s="18"/>
      <c r="B403" s="71" t="s">
        <v>359</v>
      </c>
      <c r="C403" s="72">
        <v>46073</v>
      </c>
      <c r="D403" s="73" t="s">
        <v>68</v>
      </c>
      <c r="E403" s="74" t="s">
        <v>311</v>
      </c>
      <c r="F403" s="74" t="s">
        <v>312</v>
      </c>
      <c r="G403" s="75" t="s">
        <v>391</v>
      </c>
      <c r="H403" s="76" t="s">
        <v>364</v>
      </c>
      <c r="I403" s="77" t="s">
        <v>25</v>
      </c>
      <c r="J403" s="78"/>
      <c r="K403" s="79">
        <v>843.84</v>
      </c>
      <c r="L403" s="19"/>
    </row>
    <row r="404" spans="1:12" ht="24.75" customHeight="1" x14ac:dyDescent="0.15">
      <c r="A404" s="18"/>
      <c r="B404" s="71" t="s">
        <v>359</v>
      </c>
      <c r="C404" s="72">
        <v>46073</v>
      </c>
      <c r="D404" s="73" t="s">
        <v>36</v>
      </c>
      <c r="E404" s="74" t="s">
        <v>311</v>
      </c>
      <c r="F404" s="74" t="s">
        <v>37</v>
      </c>
      <c r="G404" s="75" t="s">
        <v>37</v>
      </c>
      <c r="H404" s="76" t="s">
        <v>367</v>
      </c>
      <c r="I404" s="77" t="s">
        <v>25</v>
      </c>
      <c r="J404" s="78"/>
      <c r="K404" s="79">
        <v>678.53</v>
      </c>
      <c r="L404" s="19"/>
    </row>
    <row r="405" spans="1:12" ht="24.75" customHeight="1" x14ac:dyDescent="0.15">
      <c r="A405" s="18"/>
      <c r="B405" s="71" t="s">
        <v>359</v>
      </c>
      <c r="C405" s="72">
        <v>46073</v>
      </c>
      <c r="D405" s="73" t="s">
        <v>112</v>
      </c>
      <c r="E405" s="75" t="s">
        <v>314</v>
      </c>
      <c r="F405" s="75" t="s">
        <v>346</v>
      </c>
      <c r="G405" s="75" t="s">
        <v>390</v>
      </c>
      <c r="H405" s="76" t="s">
        <v>365</v>
      </c>
      <c r="I405" s="77" t="s">
        <v>158</v>
      </c>
      <c r="J405" s="80"/>
      <c r="K405" s="81">
        <v>500</v>
      </c>
      <c r="L405" s="19"/>
    </row>
    <row r="406" spans="1:12" ht="24.75" customHeight="1" x14ac:dyDescent="0.15">
      <c r="A406" s="18"/>
      <c r="B406" s="71" t="s">
        <v>359</v>
      </c>
      <c r="C406" s="72">
        <v>46073</v>
      </c>
      <c r="D406" s="73" t="s">
        <v>98</v>
      </c>
      <c r="E406" s="74" t="s">
        <v>324</v>
      </c>
      <c r="F406" s="74" t="s">
        <v>301</v>
      </c>
      <c r="G406" s="75" t="s">
        <v>222</v>
      </c>
      <c r="H406" s="76" t="s">
        <v>24</v>
      </c>
      <c r="I406" s="77" t="s">
        <v>25</v>
      </c>
      <c r="J406" s="78"/>
      <c r="K406" s="79">
        <v>54</v>
      </c>
      <c r="L406" s="19"/>
    </row>
    <row r="407" spans="1:12" ht="24.75" customHeight="1" x14ac:dyDescent="0.15">
      <c r="A407" s="18">
        <v>0</v>
      </c>
      <c r="B407" s="71" t="s">
        <v>359</v>
      </c>
      <c r="C407" s="72">
        <v>46073</v>
      </c>
      <c r="D407" s="73" t="s">
        <v>98</v>
      </c>
      <c r="E407" s="74" t="s">
        <v>324</v>
      </c>
      <c r="F407" s="74" t="s">
        <v>301</v>
      </c>
      <c r="G407" s="75" t="s">
        <v>222</v>
      </c>
      <c r="H407" s="76" t="s">
        <v>24</v>
      </c>
      <c r="I407" s="77" t="s">
        <v>25</v>
      </c>
      <c r="J407" s="78"/>
      <c r="K407" s="79">
        <v>5.05</v>
      </c>
      <c r="L407" s="19"/>
    </row>
    <row r="408" spans="1:12" ht="24.75" customHeight="1" x14ac:dyDescent="0.15">
      <c r="A408" s="18"/>
      <c r="B408" s="71" t="s">
        <v>359</v>
      </c>
      <c r="C408" s="72">
        <v>46075</v>
      </c>
      <c r="D408" s="73" t="s">
        <v>403</v>
      </c>
      <c r="E408" s="74" t="s">
        <v>313</v>
      </c>
      <c r="F408" s="74" t="s">
        <v>404</v>
      </c>
      <c r="G408" s="75" t="s">
        <v>405</v>
      </c>
      <c r="H408" s="76" t="s">
        <v>24</v>
      </c>
      <c r="I408" s="77" t="s">
        <v>25</v>
      </c>
      <c r="J408" s="78"/>
      <c r="K408" s="81">
        <v>5480</v>
      </c>
      <c r="L408" s="19"/>
    </row>
    <row r="409" spans="1:12" ht="24.75" customHeight="1" x14ac:dyDescent="0.15">
      <c r="A409" s="18"/>
      <c r="B409" s="71" t="s">
        <v>359</v>
      </c>
      <c r="C409" s="72">
        <v>46076</v>
      </c>
      <c r="D409" s="73" t="s">
        <v>71</v>
      </c>
      <c r="E409" s="74" t="s">
        <v>321</v>
      </c>
      <c r="F409" s="74" t="s">
        <v>352</v>
      </c>
      <c r="G409" s="75" t="s">
        <v>73</v>
      </c>
      <c r="H409" s="76" t="s">
        <v>24</v>
      </c>
      <c r="I409" s="77" t="s">
        <v>25</v>
      </c>
      <c r="J409" s="78"/>
      <c r="K409" s="79">
        <v>15705.85</v>
      </c>
      <c r="L409" s="19"/>
    </row>
    <row r="410" spans="1:12" ht="24.75" customHeight="1" x14ac:dyDescent="0.15">
      <c r="A410" s="18"/>
      <c r="B410" s="71" t="s">
        <v>359</v>
      </c>
      <c r="C410" s="72">
        <v>46076</v>
      </c>
      <c r="D410" s="73" t="s">
        <v>162</v>
      </c>
      <c r="E410" s="74" t="s">
        <v>324</v>
      </c>
      <c r="F410" s="74" t="s">
        <v>325</v>
      </c>
      <c r="G410" s="75" t="s">
        <v>191</v>
      </c>
      <c r="H410" s="76" t="s">
        <v>24</v>
      </c>
      <c r="I410" s="77" t="s">
        <v>25</v>
      </c>
      <c r="J410" s="80"/>
      <c r="K410" s="81">
        <v>13788.21</v>
      </c>
      <c r="L410" s="19"/>
    </row>
    <row r="411" spans="1:12" ht="24.75" customHeight="1" x14ac:dyDescent="0.15">
      <c r="A411" s="18"/>
      <c r="B411" s="71" t="s">
        <v>359</v>
      </c>
      <c r="C411" s="72">
        <v>46076</v>
      </c>
      <c r="D411" s="73" t="s">
        <v>172</v>
      </c>
      <c r="E411" s="74" t="s">
        <v>339</v>
      </c>
      <c r="F411" s="74" t="s">
        <v>342</v>
      </c>
      <c r="G411" s="75" t="s">
        <v>173</v>
      </c>
      <c r="H411" s="76" t="s">
        <v>365</v>
      </c>
      <c r="I411" s="77" t="s">
        <v>25</v>
      </c>
      <c r="J411" s="78"/>
      <c r="K411" s="79">
        <v>9970.75</v>
      </c>
      <c r="L411" s="19"/>
    </row>
    <row r="412" spans="1:12" ht="24.75" customHeight="1" x14ac:dyDescent="0.15">
      <c r="A412" s="18"/>
      <c r="B412" s="71" t="s">
        <v>359</v>
      </c>
      <c r="C412" s="72">
        <v>46076</v>
      </c>
      <c r="D412" s="73" t="s">
        <v>172</v>
      </c>
      <c r="E412" s="74" t="s">
        <v>339</v>
      </c>
      <c r="F412" s="74" t="s">
        <v>342</v>
      </c>
      <c r="G412" s="75" t="s">
        <v>174</v>
      </c>
      <c r="H412" s="76" t="s">
        <v>365</v>
      </c>
      <c r="I412" s="77" t="s">
        <v>25</v>
      </c>
      <c r="J412" s="78"/>
      <c r="K412" s="81">
        <v>9010.2800000000007</v>
      </c>
      <c r="L412" s="19"/>
    </row>
    <row r="413" spans="1:12" ht="24.75" customHeight="1" x14ac:dyDescent="0.15">
      <c r="A413" s="18"/>
      <c r="B413" s="71" t="s">
        <v>359</v>
      </c>
      <c r="C413" s="72">
        <v>46076</v>
      </c>
      <c r="D413" s="73" t="s">
        <v>162</v>
      </c>
      <c r="E413" s="75" t="s">
        <v>324</v>
      </c>
      <c r="F413" s="75" t="s">
        <v>325</v>
      </c>
      <c r="G413" s="75" t="s">
        <v>192</v>
      </c>
      <c r="H413" s="76" t="s">
        <v>24</v>
      </c>
      <c r="I413" s="77" t="s">
        <v>25</v>
      </c>
      <c r="J413" s="78"/>
      <c r="K413" s="79">
        <v>7179.41</v>
      </c>
      <c r="L413" s="19"/>
    </row>
    <row r="414" spans="1:12" ht="24.75" customHeight="1" x14ac:dyDescent="0.15">
      <c r="A414" s="18"/>
      <c r="B414" s="71" t="s">
        <v>359</v>
      </c>
      <c r="C414" s="72">
        <v>46076</v>
      </c>
      <c r="D414" s="73" t="s">
        <v>112</v>
      </c>
      <c r="E414" s="74" t="s">
        <v>314</v>
      </c>
      <c r="F414" s="74" t="s">
        <v>360</v>
      </c>
      <c r="G414" s="75" t="s">
        <v>190</v>
      </c>
      <c r="H414" s="76" t="s">
        <v>24</v>
      </c>
      <c r="I414" s="77" t="s">
        <v>25</v>
      </c>
      <c r="J414" s="78"/>
      <c r="K414" s="79">
        <v>2572.44</v>
      </c>
      <c r="L414" s="19"/>
    </row>
    <row r="415" spans="1:12" ht="24.75" customHeight="1" x14ac:dyDescent="0.15">
      <c r="A415" s="18">
        <v>0</v>
      </c>
      <c r="B415" s="71" t="s">
        <v>359</v>
      </c>
      <c r="C415" s="72">
        <v>46076</v>
      </c>
      <c r="D415" s="73" t="s">
        <v>112</v>
      </c>
      <c r="E415" s="74" t="s">
        <v>314</v>
      </c>
      <c r="F415" s="74" t="s">
        <v>346</v>
      </c>
      <c r="G415" s="75" t="s">
        <v>409</v>
      </c>
      <c r="H415" s="76" t="s">
        <v>24</v>
      </c>
      <c r="I415" s="77" t="s">
        <v>25</v>
      </c>
      <c r="J415" s="80"/>
      <c r="K415" s="81">
        <v>2500</v>
      </c>
      <c r="L415" s="19"/>
    </row>
    <row r="416" spans="1:12" ht="24.75" hidden="1" customHeight="1" x14ac:dyDescent="0.15">
      <c r="A416" s="18"/>
      <c r="B416" s="71" t="s">
        <v>359</v>
      </c>
      <c r="C416" s="72">
        <v>46076</v>
      </c>
      <c r="D416" s="73" t="s">
        <v>28</v>
      </c>
      <c r="E416" s="74" t="s">
        <v>313</v>
      </c>
      <c r="F416" s="74" t="s">
        <v>111</v>
      </c>
      <c r="G416" s="75" t="s">
        <v>29</v>
      </c>
      <c r="H416" s="76" t="s">
        <v>363</v>
      </c>
      <c r="I416" s="77" t="s">
        <v>25</v>
      </c>
      <c r="J416" s="78"/>
      <c r="K416" s="79">
        <v>2118.96</v>
      </c>
      <c r="L416" s="19"/>
    </row>
    <row r="417" spans="1:12" ht="24.75" customHeight="1" x14ac:dyDescent="0.15">
      <c r="A417" s="18"/>
      <c r="B417" s="71" t="s">
        <v>359</v>
      </c>
      <c r="C417" s="72">
        <v>46076</v>
      </c>
      <c r="D417" s="73" t="s">
        <v>112</v>
      </c>
      <c r="E417" s="74" t="s">
        <v>314</v>
      </c>
      <c r="F417" s="74" t="s">
        <v>346</v>
      </c>
      <c r="G417" s="75" t="s">
        <v>410</v>
      </c>
      <c r="H417" s="76" t="s">
        <v>24</v>
      </c>
      <c r="I417" s="77" t="s">
        <v>25</v>
      </c>
      <c r="J417" s="78"/>
      <c r="K417" s="79">
        <v>1300</v>
      </c>
      <c r="L417" s="19"/>
    </row>
    <row r="418" spans="1:12" ht="24.75" customHeight="1" x14ac:dyDescent="0.15">
      <c r="A418" s="18"/>
      <c r="B418" s="71" t="s">
        <v>359</v>
      </c>
      <c r="C418" s="72">
        <v>46076</v>
      </c>
      <c r="D418" s="73" t="s">
        <v>112</v>
      </c>
      <c r="E418" s="74" t="s">
        <v>314</v>
      </c>
      <c r="F418" s="74" t="s">
        <v>360</v>
      </c>
      <c r="G418" s="75" t="s">
        <v>182</v>
      </c>
      <c r="H418" s="76" t="s">
        <v>24</v>
      </c>
      <c r="I418" s="77" t="s">
        <v>25</v>
      </c>
      <c r="J418" s="78"/>
      <c r="K418" s="81">
        <v>1200</v>
      </c>
      <c r="L418" s="19"/>
    </row>
    <row r="419" spans="1:12" ht="24.75" customHeight="1" x14ac:dyDescent="0.15">
      <c r="A419" s="18"/>
      <c r="B419" s="71" t="s">
        <v>359</v>
      </c>
      <c r="C419" s="72">
        <v>46076</v>
      </c>
      <c r="D419" s="73" t="s">
        <v>69</v>
      </c>
      <c r="E419" s="74" t="s">
        <v>339</v>
      </c>
      <c r="F419" s="74" t="s">
        <v>342</v>
      </c>
      <c r="G419" s="75" t="s">
        <v>77</v>
      </c>
      <c r="H419" s="76" t="s">
        <v>365</v>
      </c>
      <c r="I419" s="77" t="s">
        <v>25</v>
      </c>
      <c r="J419" s="78"/>
      <c r="K419" s="79">
        <v>785.85</v>
      </c>
      <c r="L419" s="19"/>
    </row>
    <row r="420" spans="1:12" ht="24.75" hidden="1" customHeight="1" x14ac:dyDescent="0.15">
      <c r="A420" s="18"/>
      <c r="B420" s="71" t="s">
        <v>359</v>
      </c>
      <c r="C420" s="72">
        <v>46076</v>
      </c>
      <c r="D420" s="73" t="s">
        <v>88</v>
      </c>
      <c r="E420" s="74" t="s">
        <v>313</v>
      </c>
      <c r="F420" s="74" t="s">
        <v>111</v>
      </c>
      <c r="G420" s="75" t="s">
        <v>29</v>
      </c>
      <c r="H420" s="76" t="s">
        <v>363</v>
      </c>
      <c r="I420" s="77" t="s">
        <v>25</v>
      </c>
      <c r="J420" s="80"/>
      <c r="K420" s="81">
        <v>500</v>
      </c>
      <c r="L420" s="19"/>
    </row>
    <row r="421" spans="1:12" ht="24.75" customHeight="1" x14ac:dyDescent="0.15">
      <c r="A421" s="18"/>
      <c r="B421" s="71" t="s">
        <v>359</v>
      </c>
      <c r="C421" s="72">
        <v>46076</v>
      </c>
      <c r="D421" s="73" t="s">
        <v>98</v>
      </c>
      <c r="E421" s="74" t="s">
        <v>324</v>
      </c>
      <c r="F421" s="74" t="s">
        <v>301</v>
      </c>
      <c r="G421" s="75" t="s">
        <v>222</v>
      </c>
      <c r="H421" s="76" t="s">
        <v>24</v>
      </c>
      <c r="I421" s="77" t="s">
        <v>25</v>
      </c>
      <c r="J421" s="78"/>
      <c r="K421" s="79">
        <v>366.6</v>
      </c>
      <c r="L421" s="19"/>
    </row>
    <row r="422" spans="1:12" ht="24.75" customHeight="1" x14ac:dyDescent="0.15">
      <c r="A422" s="18">
        <v>0</v>
      </c>
      <c r="B422" s="71" t="s">
        <v>359</v>
      </c>
      <c r="C422" s="72">
        <v>46076</v>
      </c>
      <c r="D422" s="73" t="s">
        <v>69</v>
      </c>
      <c r="E422" s="74" t="s">
        <v>317</v>
      </c>
      <c r="F422" s="74" t="s">
        <v>128</v>
      </c>
      <c r="G422" s="75" t="s">
        <v>213</v>
      </c>
      <c r="H422" s="76" t="s">
        <v>408</v>
      </c>
      <c r="I422" s="77" t="s">
        <v>25</v>
      </c>
      <c r="J422" s="78"/>
      <c r="K422" s="79">
        <v>155.79</v>
      </c>
      <c r="L422" s="19"/>
    </row>
    <row r="423" spans="1:12" ht="24.75" customHeight="1" x14ac:dyDescent="0.15">
      <c r="A423" s="18"/>
      <c r="B423" s="71" t="s">
        <v>359</v>
      </c>
      <c r="C423" s="72">
        <v>46076</v>
      </c>
      <c r="D423" s="73" t="s">
        <v>98</v>
      </c>
      <c r="E423" s="74" t="s">
        <v>324</v>
      </c>
      <c r="F423" s="74" t="s">
        <v>301</v>
      </c>
      <c r="G423" s="75" t="s">
        <v>222</v>
      </c>
      <c r="H423" s="76" t="s">
        <v>24</v>
      </c>
      <c r="I423" s="77" t="s">
        <v>25</v>
      </c>
      <c r="J423" s="80"/>
      <c r="K423" s="81">
        <v>65.12</v>
      </c>
      <c r="L423" s="19"/>
    </row>
    <row r="424" spans="1:12" ht="24.75" customHeight="1" x14ac:dyDescent="0.15">
      <c r="A424" s="18"/>
      <c r="B424" s="71" t="s">
        <v>359</v>
      </c>
      <c r="C424" s="72">
        <v>46076</v>
      </c>
      <c r="D424" s="73" t="s">
        <v>98</v>
      </c>
      <c r="E424" s="74" t="s">
        <v>324</v>
      </c>
      <c r="F424" s="74" t="s">
        <v>301</v>
      </c>
      <c r="G424" s="75" t="s">
        <v>222</v>
      </c>
      <c r="H424" s="76" t="s">
        <v>24</v>
      </c>
      <c r="I424" s="77" t="s">
        <v>25</v>
      </c>
      <c r="J424" s="78"/>
      <c r="K424" s="79">
        <v>49.4</v>
      </c>
      <c r="L424" s="19"/>
    </row>
    <row r="425" spans="1:12" ht="24.75" hidden="1" customHeight="1" x14ac:dyDescent="0.15">
      <c r="A425" s="18"/>
      <c r="B425" s="69"/>
      <c r="C425" s="9"/>
      <c r="D425" s="47"/>
      <c r="E425" s="46"/>
      <c r="F425" s="46"/>
      <c r="G425" s="4"/>
      <c r="H425" s="37"/>
      <c r="I425" s="56"/>
      <c r="J425" s="34"/>
      <c r="K425" s="33"/>
      <c r="L425" s="19"/>
    </row>
    <row r="426" spans="1:12" ht="24.75" hidden="1" customHeight="1" x14ac:dyDescent="0.15">
      <c r="A426" s="18"/>
      <c r="B426" s="69"/>
      <c r="C426" s="9"/>
      <c r="D426" s="47"/>
      <c r="E426" s="46"/>
      <c r="F426" s="46"/>
      <c r="G426" s="4"/>
      <c r="H426" s="37"/>
      <c r="I426" s="56"/>
      <c r="J426" s="35"/>
      <c r="K426" s="32"/>
      <c r="L426" s="19"/>
    </row>
    <row r="427" spans="1:12" ht="24.75" hidden="1" customHeight="1" x14ac:dyDescent="0.15">
      <c r="A427" s="18"/>
      <c r="B427" s="69"/>
      <c r="C427" s="9"/>
      <c r="D427" s="47"/>
      <c r="E427" s="46"/>
      <c r="F427" s="46"/>
      <c r="G427" s="4"/>
      <c r="H427" s="37"/>
      <c r="I427" s="56"/>
      <c r="J427" s="34"/>
      <c r="K427" s="33"/>
      <c r="L427" s="19"/>
    </row>
    <row r="428" spans="1:12" ht="24.75" hidden="1" customHeight="1" x14ac:dyDescent="0.15">
      <c r="A428" s="18"/>
      <c r="B428" s="69"/>
      <c r="C428" s="9"/>
      <c r="D428" s="47"/>
      <c r="E428" s="4"/>
      <c r="F428" s="4"/>
      <c r="G428" s="4"/>
      <c r="H428" s="37"/>
      <c r="I428" s="56"/>
      <c r="J428" s="34"/>
      <c r="K428" s="33"/>
      <c r="L428" s="19"/>
    </row>
    <row r="429" spans="1:12" ht="24.75" hidden="1" customHeight="1" x14ac:dyDescent="0.15">
      <c r="A429" s="18"/>
      <c r="B429" s="69"/>
      <c r="C429" s="9"/>
      <c r="D429" s="47"/>
      <c r="E429" s="46"/>
      <c r="F429" s="46"/>
      <c r="G429" s="4"/>
      <c r="H429" s="37"/>
      <c r="I429" s="56"/>
      <c r="J429" s="34"/>
      <c r="K429" s="33"/>
      <c r="L429" s="19"/>
    </row>
    <row r="430" spans="1:12" ht="24.75" hidden="1" customHeight="1" x14ac:dyDescent="0.15">
      <c r="A430" s="18">
        <v>0</v>
      </c>
      <c r="B430" s="69"/>
      <c r="C430" s="9"/>
      <c r="D430" s="47"/>
      <c r="E430" s="46"/>
      <c r="F430" s="46"/>
      <c r="G430" s="4"/>
      <c r="H430" s="37"/>
      <c r="I430" s="56"/>
      <c r="J430" s="34"/>
      <c r="K430" s="32"/>
      <c r="L430" s="19"/>
    </row>
    <row r="431" spans="1:12" ht="24.75" hidden="1" customHeight="1" x14ac:dyDescent="0.15">
      <c r="A431" s="18"/>
      <c r="B431" s="69"/>
      <c r="C431" s="9"/>
      <c r="D431" s="47"/>
      <c r="E431" s="46"/>
      <c r="F431" s="46"/>
      <c r="G431" s="4"/>
      <c r="H431" s="37"/>
      <c r="I431" s="56"/>
      <c r="J431" s="35"/>
      <c r="K431" s="32"/>
      <c r="L431" s="19"/>
    </row>
    <row r="432" spans="1:12" ht="24.75" hidden="1" customHeight="1" x14ac:dyDescent="0.15">
      <c r="A432" s="18"/>
      <c r="B432" s="69"/>
      <c r="C432" s="9"/>
      <c r="D432" s="47"/>
      <c r="E432" s="46"/>
      <c r="F432" s="46"/>
      <c r="G432" s="4"/>
      <c r="H432" s="37"/>
      <c r="I432" s="56"/>
      <c r="J432" s="34"/>
      <c r="K432" s="33"/>
      <c r="L432" s="19"/>
    </row>
    <row r="433" spans="1:12" ht="24.75" hidden="1" customHeight="1" x14ac:dyDescent="0.15">
      <c r="A433" s="18"/>
      <c r="B433" s="69"/>
      <c r="C433" s="9"/>
      <c r="D433" s="47"/>
      <c r="E433" s="46"/>
      <c r="F433" s="46"/>
      <c r="G433" s="4"/>
      <c r="H433" s="37"/>
      <c r="I433" s="56"/>
      <c r="J433" s="34"/>
      <c r="K433" s="33"/>
      <c r="L433" s="19"/>
    </row>
    <row r="434" spans="1:12" ht="24.75" hidden="1" customHeight="1" x14ac:dyDescent="0.15">
      <c r="A434" s="18"/>
      <c r="B434" s="69"/>
      <c r="C434" s="9"/>
      <c r="D434" s="47"/>
      <c r="E434" s="46"/>
      <c r="F434" s="46"/>
      <c r="G434" s="4"/>
      <c r="H434" s="37"/>
      <c r="I434" s="56"/>
      <c r="J434" s="35"/>
      <c r="K434" s="32"/>
      <c r="L434" s="19"/>
    </row>
    <row r="435" spans="1:12" ht="24.75" hidden="1" customHeight="1" x14ac:dyDescent="0.15">
      <c r="A435" s="18"/>
      <c r="B435" s="69"/>
      <c r="C435" s="9"/>
      <c r="D435" s="47"/>
      <c r="E435" s="46"/>
      <c r="F435" s="46"/>
      <c r="G435" s="4"/>
      <c r="H435" s="37"/>
      <c r="I435" s="56"/>
      <c r="J435" s="34"/>
      <c r="K435" s="33"/>
      <c r="L435" s="19"/>
    </row>
    <row r="436" spans="1:12" ht="24.75" hidden="1" customHeight="1" x14ac:dyDescent="0.15">
      <c r="A436" s="18"/>
      <c r="B436" s="69"/>
      <c r="C436" s="9"/>
      <c r="D436" s="47"/>
      <c r="E436" s="4"/>
      <c r="F436" s="4"/>
      <c r="G436" s="4"/>
      <c r="H436" s="37"/>
      <c r="I436" s="56"/>
      <c r="J436" s="34"/>
      <c r="K436" s="33"/>
      <c r="L436" s="19"/>
    </row>
    <row r="437" spans="1:12" ht="24.75" hidden="1" customHeight="1" x14ac:dyDescent="0.15">
      <c r="A437" s="18"/>
      <c r="B437" s="69"/>
      <c r="C437" s="9"/>
      <c r="D437" s="47"/>
      <c r="E437" s="46"/>
      <c r="F437" s="46"/>
      <c r="G437" s="4"/>
      <c r="H437" s="37"/>
      <c r="I437" s="56"/>
      <c r="J437" s="34"/>
      <c r="K437" s="33"/>
      <c r="L437" s="19"/>
    </row>
    <row r="438" spans="1:12" ht="24.75" hidden="1" customHeight="1" x14ac:dyDescent="0.15">
      <c r="A438" s="18">
        <v>0</v>
      </c>
      <c r="B438" s="69"/>
      <c r="C438" s="9"/>
      <c r="D438" s="47"/>
      <c r="E438" s="46"/>
      <c r="F438" s="46"/>
      <c r="G438" s="4"/>
      <c r="H438" s="37"/>
      <c r="I438" s="56"/>
      <c r="J438" s="34"/>
      <c r="K438" s="32"/>
      <c r="L438" s="19"/>
    </row>
    <row r="439" spans="1:12" ht="24.75" hidden="1" customHeight="1" x14ac:dyDescent="0.15">
      <c r="A439" s="18"/>
      <c r="B439" s="69"/>
      <c r="C439" s="9"/>
      <c r="D439" s="47"/>
      <c r="E439" s="46"/>
      <c r="F439" s="46"/>
      <c r="G439" s="4"/>
      <c r="H439" s="37"/>
      <c r="I439" s="56"/>
      <c r="J439" s="35"/>
      <c r="K439" s="32"/>
      <c r="L439" s="19"/>
    </row>
    <row r="440" spans="1:12" ht="24.75" hidden="1" customHeight="1" x14ac:dyDescent="0.15">
      <c r="A440" s="18"/>
      <c r="B440" s="69"/>
      <c r="C440" s="9"/>
      <c r="D440" s="47"/>
      <c r="E440" s="46"/>
      <c r="F440" s="46"/>
      <c r="G440" s="4"/>
      <c r="H440" s="37"/>
      <c r="I440" s="56"/>
      <c r="J440" s="34"/>
      <c r="K440" s="33"/>
      <c r="L440" s="19"/>
    </row>
    <row r="441" spans="1:12" ht="24.75" hidden="1" customHeight="1" x14ac:dyDescent="0.15">
      <c r="A441" s="18"/>
      <c r="B441" s="69"/>
      <c r="C441" s="9"/>
      <c r="D441" s="47"/>
      <c r="E441" s="46"/>
      <c r="F441" s="46"/>
      <c r="G441" s="4"/>
      <c r="H441" s="37"/>
      <c r="I441" s="56"/>
      <c r="J441" s="34"/>
      <c r="K441" s="33"/>
      <c r="L441" s="19"/>
    </row>
    <row r="442" spans="1:12" ht="24.75" hidden="1" customHeight="1" x14ac:dyDescent="0.15">
      <c r="A442" s="18"/>
      <c r="B442" s="69"/>
      <c r="C442" s="9"/>
      <c r="D442" s="47"/>
      <c r="E442" s="46"/>
      <c r="F442" s="46"/>
      <c r="G442" s="4"/>
      <c r="H442" s="37"/>
      <c r="I442" s="56"/>
      <c r="J442" s="35"/>
      <c r="K442" s="32"/>
      <c r="L442" s="19"/>
    </row>
    <row r="443" spans="1:12" ht="24.75" hidden="1" customHeight="1" x14ac:dyDescent="0.15">
      <c r="A443" s="18"/>
      <c r="B443" s="69"/>
      <c r="C443" s="9"/>
      <c r="D443" s="47"/>
      <c r="E443" s="46"/>
      <c r="F443" s="46"/>
      <c r="G443" s="4"/>
      <c r="H443" s="37"/>
      <c r="I443" s="56"/>
      <c r="J443" s="34"/>
      <c r="K443" s="33"/>
      <c r="L443" s="19"/>
    </row>
    <row r="444" spans="1:12" ht="24.75" hidden="1" customHeight="1" x14ac:dyDescent="0.15">
      <c r="A444" s="18"/>
      <c r="B444" s="69"/>
      <c r="C444" s="9"/>
      <c r="D444" s="47"/>
      <c r="E444" s="46"/>
      <c r="F444" s="46"/>
      <c r="G444" s="4"/>
      <c r="H444" s="37"/>
      <c r="I444" s="56"/>
      <c r="J444" s="34"/>
      <c r="K444" s="33"/>
      <c r="L444" s="19"/>
    </row>
    <row r="445" spans="1:12" ht="24.75" hidden="1" customHeight="1" x14ac:dyDescent="0.15">
      <c r="A445" s="18">
        <v>0</v>
      </c>
      <c r="B445" s="69"/>
      <c r="C445" s="9"/>
      <c r="D445" s="47"/>
      <c r="E445" s="46"/>
      <c r="F445" s="46"/>
      <c r="G445" s="4"/>
      <c r="H445" s="37"/>
      <c r="I445" s="56"/>
      <c r="J445" s="34"/>
      <c r="K445" s="32"/>
      <c r="L445" s="19"/>
    </row>
    <row r="446" spans="1:12" ht="24.75" hidden="1" customHeight="1" x14ac:dyDescent="0.15">
      <c r="A446" s="18"/>
      <c r="B446" s="69"/>
      <c r="C446" s="9"/>
      <c r="D446" s="47"/>
      <c r="E446" s="46"/>
      <c r="F446" s="46"/>
      <c r="G446" s="4"/>
      <c r="H446" s="37"/>
      <c r="I446" s="56"/>
      <c r="J446" s="35"/>
      <c r="K446" s="32"/>
      <c r="L446" s="19"/>
    </row>
    <row r="447" spans="1:12" ht="24.75" hidden="1" customHeight="1" x14ac:dyDescent="0.15">
      <c r="A447" s="18"/>
      <c r="B447" s="69"/>
      <c r="C447" s="9"/>
      <c r="D447" s="47"/>
      <c r="E447" s="46"/>
      <c r="F447" s="46"/>
      <c r="G447" s="4"/>
      <c r="H447" s="37"/>
      <c r="I447" s="56"/>
      <c r="J447" s="34"/>
      <c r="K447" s="33"/>
      <c r="L447" s="19"/>
    </row>
    <row r="448" spans="1:12" ht="24.75" hidden="1" customHeight="1" x14ac:dyDescent="0.15">
      <c r="A448" s="18"/>
      <c r="B448" s="69"/>
      <c r="C448" s="9"/>
      <c r="D448" s="47"/>
      <c r="E448" s="46"/>
      <c r="F448" s="46"/>
      <c r="G448" s="4"/>
      <c r="H448" s="37"/>
      <c r="I448" s="56"/>
      <c r="J448" s="34"/>
      <c r="K448" s="33"/>
      <c r="L448" s="19"/>
    </row>
    <row r="449" spans="1:12" ht="24.75" hidden="1" customHeight="1" x14ac:dyDescent="0.15">
      <c r="A449" s="18"/>
      <c r="B449" s="69"/>
      <c r="C449" s="9"/>
      <c r="D449" s="47"/>
      <c r="E449" s="46"/>
      <c r="F449" s="46"/>
      <c r="G449" s="4"/>
      <c r="H449" s="37"/>
      <c r="I449" s="56"/>
      <c r="J449" s="35"/>
      <c r="K449" s="32"/>
      <c r="L449" s="19"/>
    </row>
    <row r="450" spans="1:12" ht="24.75" hidden="1" customHeight="1" x14ac:dyDescent="0.15">
      <c r="A450" s="18"/>
      <c r="B450" s="69"/>
      <c r="C450" s="9"/>
      <c r="D450" s="47"/>
      <c r="E450" s="46"/>
      <c r="F450" s="46"/>
      <c r="G450" s="4"/>
      <c r="H450" s="37"/>
      <c r="I450" s="56"/>
      <c r="J450" s="34"/>
      <c r="K450" s="33"/>
      <c r="L450" s="19"/>
    </row>
    <row r="451" spans="1:12" ht="24.75" hidden="1" customHeight="1" x14ac:dyDescent="0.15">
      <c r="A451" s="18"/>
      <c r="B451" s="69"/>
      <c r="C451" s="9"/>
      <c r="D451" s="47"/>
      <c r="E451" s="4"/>
      <c r="F451" s="4"/>
      <c r="G451" s="4"/>
      <c r="H451" s="37"/>
      <c r="I451" s="56"/>
      <c r="J451" s="34"/>
      <c r="K451" s="33"/>
      <c r="L451" s="19"/>
    </row>
    <row r="452" spans="1:12" ht="24.75" hidden="1" customHeight="1" x14ac:dyDescent="0.15">
      <c r="A452" s="18"/>
      <c r="B452" s="69"/>
      <c r="C452" s="9"/>
      <c r="D452" s="47"/>
      <c r="E452" s="46"/>
      <c r="F452" s="46"/>
      <c r="G452" s="4"/>
      <c r="H452" s="37"/>
      <c r="I452" s="56"/>
      <c r="J452" s="34"/>
      <c r="K452" s="33"/>
      <c r="L452" s="19"/>
    </row>
    <row r="453" spans="1:12" ht="24.75" hidden="1" customHeight="1" x14ac:dyDescent="0.15">
      <c r="A453" s="18">
        <v>0</v>
      </c>
      <c r="B453" s="69"/>
      <c r="C453" s="9"/>
      <c r="D453" s="47"/>
      <c r="E453" s="46"/>
      <c r="F453" s="46"/>
      <c r="G453" s="4"/>
      <c r="H453" s="37"/>
      <c r="I453" s="56"/>
      <c r="J453" s="34"/>
      <c r="K453" s="32"/>
      <c r="L453" s="19"/>
    </row>
    <row r="454" spans="1:12" ht="24.75" hidden="1" customHeight="1" x14ac:dyDescent="0.15">
      <c r="A454" s="18"/>
      <c r="B454" s="69"/>
      <c r="C454" s="9"/>
      <c r="D454" s="47"/>
      <c r="E454" s="46"/>
      <c r="F454" s="46"/>
      <c r="G454" s="4"/>
      <c r="H454" s="37"/>
      <c r="I454" s="56"/>
      <c r="J454" s="35"/>
      <c r="K454" s="32"/>
      <c r="L454" s="19"/>
    </row>
    <row r="455" spans="1:12" ht="24.75" hidden="1" customHeight="1" x14ac:dyDescent="0.15">
      <c r="A455" s="18"/>
      <c r="B455" s="69"/>
      <c r="C455" s="9"/>
      <c r="D455" s="47"/>
      <c r="E455" s="46"/>
      <c r="F455" s="46"/>
      <c r="G455" s="4"/>
      <c r="H455" s="37"/>
      <c r="I455" s="56"/>
      <c r="J455" s="34"/>
      <c r="K455" s="33"/>
      <c r="L455" s="19"/>
    </row>
    <row r="456" spans="1:12" ht="24.75" hidden="1" customHeight="1" x14ac:dyDescent="0.15">
      <c r="A456" s="18"/>
      <c r="B456" s="69"/>
      <c r="C456" s="9"/>
      <c r="D456" s="47"/>
      <c r="E456" s="46"/>
      <c r="F456" s="46"/>
      <c r="G456" s="4"/>
      <c r="H456" s="37"/>
      <c r="I456" s="56"/>
      <c r="J456" s="34"/>
      <c r="K456" s="33"/>
      <c r="L456" s="19"/>
    </row>
    <row r="457" spans="1:12" ht="24.75" hidden="1" customHeight="1" x14ac:dyDescent="0.15">
      <c r="A457" s="18"/>
      <c r="B457" s="69"/>
      <c r="C457" s="9"/>
      <c r="D457" s="47"/>
      <c r="E457" s="46"/>
      <c r="F457" s="46"/>
      <c r="G457" s="4"/>
      <c r="H457" s="37"/>
      <c r="I457" s="56"/>
      <c r="J457" s="35"/>
      <c r="K457" s="32"/>
      <c r="L457" s="19"/>
    </row>
    <row r="458" spans="1:12" ht="24.75" hidden="1" customHeight="1" x14ac:dyDescent="0.15">
      <c r="A458" s="18"/>
      <c r="B458" s="69"/>
      <c r="C458" s="9"/>
      <c r="D458" s="47"/>
      <c r="E458" s="46"/>
      <c r="F458" s="46"/>
      <c r="G458" s="4"/>
      <c r="H458" s="37"/>
      <c r="I458" s="56"/>
      <c r="J458" s="34"/>
      <c r="K458" s="33"/>
      <c r="L458" s="19"/>
    </row>
    <row r="459" spans="1:12" ht="24.75" hidden="1" customHeight="1" x14ac:dyDescent="0.15">
      <c r="A459" s="18"/>
      <c r="B459" s="69"/>
      <c r="C459" s="9"/>
      <c r="D459" s="47"/>
      <c r="E459" s="4"/>
      <c r="F459" s="4"/>
      <c r="G459" s="4"/>
      <c r="H459" s="37"/>
      <c r="I459" s="56"/>
      <c r="J459" s="34"/>
      <c r="K459" s="33"/>
      <c r="L459" s="19"/>
    </row>
    <row r="460" spans="1:12" ht="24.75" hidden="1" customHeight="1" x14ac:dyDescent="0.15">
      <c r="A460" s="18"/>
      <c r="B460" s="69"/>
      <c r="C460" s="9"/>
      <c r="D460" s="47"/>
      <c r="E460" s="46"/>
      <c r="F460" s="46"/>
      <c r="G460" s="4"/>
      <c r="H460" s="37"/>
      <c r="I460" s="56"/>
      <c r="J460" s="34"/>
      <c r="K460" s="33"/>
      <c r="L460" s="19"/>
    </row>
    <row r="461" spans="1:12" ht="24.75" hidden="1" customHeight="1" x14ac:dyDescent="0.15">
      <c r="A461" s="18">
        <v>0</v>
      </c>
      <c r="B461" s="69"/>
      <c r="C461" s="9"/>
      <c r="D461" s="47"/>
      <c r="E461" s="46"/>
      <c r="F461" s="46"/>
      <c r="G461" s="4"/>
      <c r="H461" s="37"/>
      <c r="I461" s="56"/>
      <c r="J461" s="34"/>
      <c r="K461" s="32"/>
      <c r="L461" s="19"/>
    </row>
    <row r="462" spans="1:12" ht="24.75" hidden="1" customHeight="1" x14ac:dyDescent="0.15">
      <c r="A462" s="18"/>
      <c r="B462" s="69"/>
      <c r="C462" s="9"/>
      <c r="D462" s="47"/>
      <c r="E462" s="46"/>
      <c r="F462" s="46"/>
      <c r="G462" s="4"/>
      <c r="H462" s="37"/>
      <c r="I462" s="56"/>
      <c r="J462" s="34"/>
      <c r="K462" s="33"/>
      <c r="L462" s="19"/>
    </row>
    <row r="463" spans="1:12" ht="24.75" hidden="1" customHeight="1" x14ac:dyDescent="0.15">
      <c r="A463" s="18">
        <v>0</v>
      </c>
      <c r="B463" s="69"/>
      <c r="C463" s="9"/>
      <c r="D463" s="47"/>
      <c r="E463" s="46"/>
      <c r="F463" s="46"/>
      <c r="G463" s="4"/>
      <c r="H463" s="37"/>
      <c r="I463" s="56"/>
      <c r="J463" s="34"/>
      <c r="K463" s="32"/>
      <c r="L463" s="19"/>
    </row>
    <row r="464" spans="1:12" ht="24.75" hidden="1" customHeight="1" x14ac:dyDescent="0.15">
      <c r="A464" s="18"/>
      <c r="B464" s="69"/>
      <c r="C464" s="9"/>
      <c r="D464" s="47"/>
      <c r="E464" s="46"/>
      <c r="F464" s="46"/>
      <c r="G464" s="4"/>
      <c r="H464" s="37"/>
      <c r="I464" s="56"/>
      <c r="J464" s="35"/>
      <c r="K464" s="32"/>
      <c r="L464" s="19"/>
    </row>
    <row r="465" spans="1:12" ht="24.75" hidden="1" customHeight="1" x14ac:dyDescent="0.15">
      <c r="A465" s="18"/>
      <c r="B465" s="69"/>
      <c r="C465" s="9"/>
      <c r="D465" s="47"/>
      <c r="E465" s="46"/>
      <c r="F465" s="46"/>
      <c r="G465" s="4"/>
      <c r="H465" s="37"/>
      <c r="I465" s="56"/>
      <c r="J465" s="34"/>
      <c r="K465" s="33"/>
      <c r="L465" s="19"/>
    </row>
    <row r="466" spans="1:12" ht="24.75" hidden="1" customHeight="1" x14ac:dyDescent="0.15">
      <c r="A466" s="18"/>
      <c r="B466" s="69"/>
      <c r="C466" s="9"/>
      <c r="D466" s="47"/>
      <c r="E466" s="46"/>
      <c r="F466" s="46"/>
      <c r="G466" s="4"/>
      <c r="H466" s="37"/>
      <c r="I466" s="56"/>
      <c r="J466" s="34"/>
      <c r="K466" s="33"/>
      <c r="L466" s="19"/>
    </row>
    <row r="467" spans="1:12" ht="24.75" hidden="1" customHeight="1" x14ac:dyDescent="0.15">
      <c r="A467" s="18"/>
      <c r="B467" s="69"/>
      <c r="C467" s="9"/>
      <c r="D467" s="47"/>
      <c r="E467" s="46"/>
      <c r="F467" s="46"/>
      <c r="G467" s="4"/>
      <c r="H467" s="37"/>
      <c r="I467" s="56"/>
      <c r="J467" s="35"/>
      <c r="K467" s="32"/>
      <c r="L467" s="19"/>
    </row>
    <row r="468" spans="1:12" ht="24.75" hidden="1" customHeight="1" x14ac:dyDescent="0.15">
      <c r="A468" s="18"/>
      <c r="B468" s="69"/>
      <c r="C468" s="9"/>
      <c r="D468" s="47"/>
      <c r="E468" s="46"/>
      <c r="F468" s="46"/>
      <c r="G468" s="4"/>
      <c r="H468" s="37"/>
      <c r="I468" s="56"/>
      <c r="J468" s="34"/>
      <c r="K468" s="33"/>
      <c r="L468" s="19"/>
    </row>
    <row r="469" spans="1:12" ht="24.75" hidden="1" customHeight="1" x14ac:dyDescent="0.15">
      <c r="A469" s="18"/>
      <c r="B469" s="69"/>
      <c r="C469" s="9"/>
      <c r="D469" s="47"/>
      <c r="E469" s="46"/>
      <c r="F469" s="46"/>
      <c r="G469" s="4"/>
      <c r="H469" s="37"/>
      <c r="I469" s="56"/>
      <c r="J469" s="34"/>
      <c r="K469" s="33"/>
      <c r="L469" s="19"/>
    </row>
    <row r="470" spans="1:12" ht="24.75" hidden="1" customHeight="1" x14ac:dyDescent="0.15">
      <c r="A470" s="18">
        <v>0</v>
      </c>
      <c r="B470" s="69"/>
      <c r="C470" s="9"/>
      <c r="D470" s="47"/>
      <c r="E470" s="46"/>
      <c r="F470" s="46"/>
      <c r="G470" s="4"/>
      <c r="H470" s="37"/>
      <c r="I470" s="56"/>
      <c r="J470" s="34"/>
      <c r="K470" s="32"/>
      <c r="L470" s="19"/>
    </row>
    <row r="471" spans="1:12" ht="24.75" hidden="1" customHeight="1" x14ac:dyDescent="0.15">
      <c r="A471" s="18"/>
      <c r="B471" s="69"/>
      <c r="C471" s="9"/>
      <c r="D471" s="47"/>
      <c r="E471" s="46"/>
      <c r="F471" s="46"/>
      <c r="G471" s="4"/>
      <c r="H471" s="37"/>
      <c r="I471" s="56"/>
      <c r="J471" s="35"/>
      <c r="K471" s="32"/>
      <c r="L471" s="19"/>
    </row>
    <row r="472" spans="1:12" ht="24.75" hidden="1" customHeight="1" x14ac:dyDescent="0.15">
      <c r="A472" s="18"/>
      <c r="B472" s="69"/>
      <c r="C472" s="9"/>
      <c r="D472" s="47"/>
      <c r="E472" s="46"/>
      <c r="F472" s="46"/>
      <c r="G472" s="4"/>
      <c r="H472" s="37"/>
      <c r="I472" s="56"/>
      <c r="J472" s="34"/>
      <c r="K472" s="33"/>
      <c r="L472" s="19"/>
    </row>
    <row r="473" spans="1:12" ht="24.75" hidden="1" customHeight="1" x14ac:dyDescent="0.15">
      <c r="A473" s="18"/>
      <c r="B473" s="69"/>
      <c r="C473" s="9"/>
      <c r="D473" s="47"/>
      <c r="E473" s="46"/>
      <c r="F473" s="46"/>
      <c r="G473" s="4"/>
      <c r="H473" s="37"/>
      <c r="I473" s="56"/>
      <c r="J473" s="34"/>
      <c r="K473" s="33"/>
      <c r="L473" s="19"/>
    </row>
    <row r="474" spans="1:12" ht="24.75" hidden="1" customHeight="1" x14ac:dyDescent="0.15">
      <c r="A474" s="18"/>
      <c r="B474" s="69"/>
      <c r="C474" s="9"/>
      <c r="D474" s="47"/>
      <c r="E474" s="46"/>
      <c r="F474" s="46"/>
      <c r="G474" s="4"/>
      <c r="H474" s="37"/>
      <c r="I474" s="56"/>
      <c r="J474" s="35"/>
      <c r="K474" s="32"/>
      <c r="L474" s="19"/>
    </row>
    <row r="475" spans="1:12" ht="24.75" hidden="1" customHeight="1" x14ac:dyDescent="0.15">
      <c r="A475" s="18"/>
      <c r="B475" s="69"/>
      <c r="C475" s="9"/>
      <c r="D475" s="47"/>
      <c r="E475" s="46"/>
      <c r="F475" s="46"/>
      <c r="G475" s="4"/>
      <c r="H475" s="37"/>
      <c r="I475" s="56"/>
      <c r="J475" s="34"/>
      <c r="K475" s="33"/>
      <c r="L475" s="19"/>
    </row>
    <row r="476" spans="1:12" ht="24.75" hidden="1" customHeight="1" x14ac:dyDescent="0.15">
      <c r="A476" s="18"/>
      <c r="B476" s="69"/>
      <c r="C476" s="9"/>
      <c r="D476" s="47"/>
      <c r="E476" s="4"/>
      <c r="F476" s="4"/>
      <c r="G476" s="4"/>
      <c r="H476" s="37"/>
      <c r="I476" s="56"/>
      <c r="J476" s="34"/>
      <c r="K476" s="33"/>
      <c r="L476" s="19"/>
    </row>
    <row r="477" spans="1:12" ht="24.75" hidden="1" customHeight="1" x14ac:dyDescent="0.15">
      <c r="A477" s="18"/>
      <c r="B477" s="69"/>
      <c r="C477" s="9"/>
      <c r="D477" s="47"/>
      <c r="E477" s="46"/>
      <c r="F477" s="46"/>
      <c r="G477" s="4"/>
      <c r="H477" s="37"/>
      <c r="I477" s="56"/>
      <c r="J477" s="34"/>
      <c r="K477" s="33"/>
      <c r="L477" s="19"/>
    </row>
    <row r="478" spans="1:12" ht="24.75" hidden="1" customHeight="1" x14ac:dyDescent="0.15">
      <c r="A478" s="18">
        <v>0</v>
      </c>
      <c r="B478" s="69"/>
      <c r="C478" s="9"/>
      <c r="D478" s="47"/>
      <c r="E478" s="46"/>
      <c r="F478" s="46"/>
      <c r="G478" s="4"/>
      <c r="H478" s="37"/>
      <c r="I478" s="56"/>
      <c r="J478" s="34"/>
      <c r="K478" s="32"/>
      <c r="L478" s="19"/>
    </row>
    <row r="479" spans="1:12" ht="24.75" hidden="1" customHeight="1" x14ac:dyDescent="0.15">
      <c r="A479" s="18"/>
      <c r="B479" s="69"/>
      <c r="C479" s="9"/>
      <c r="D479" s="47"/>
      <c r="E479" s="46"/>
      <c r="F479" s="46"/>
      <c r="G479" s="4"/>
      <c r="H479" s="37"/>
      <c r="I479" s="56"/>
      <c r="J479" s="35"/>
      <c r="K479" s="32"/>
      <c r="L479" s="19"/>
    </row>
    <row r="480" spans="1:12" ht="24.75" hidden="1" customHeight="1" x14ac:dyDescent="0.15">
      <c r="A480" s="18"/>
      <c r="B480" s="69"/>
      <c r="C480" s="9"/>
      <c r="D480" s="47"/>
      <c r="E480" s="46"/>
      <c r="F480" s="46"/>
      <c r="G480" s="4"/>
      <c r="H480" s="37"/>
      <c r="I480" s="56"/>
      <c r="J480" s="34"/>
      <c r="K480" s="33"/>
      <c r="L480" s="19"/>
    </row>
    <row r="481" spans="1:12" ht="24.75" hidden="1" customHeight="1" x14ac:dyDescent="0.15">
      <c r="A481" s="18"/>
      <c r="B481" s="69"/>
      <c r="C481" s="9"/>
      <c r="D481" s="47"/>
      <c r="E481" s="46"/>
      <c r="F481" s="46"/>
      <c r="G481" s="4"/>
      <c r="H481" s="37"/>
      <c r="I481" s="56"/>
      <c r="J481" s="34"/>
      <c r="K481" s="33"/>
      <c r="L481" s="19"/>
    </row>
    <row r="482" spans="1:12" ht="24.75" hidden="1" customHeight="1" x14ac:dyDescent="0.15">
      <c r="A482" s="18"/>
      <c r="B482" s="69"/>
      <c r="C482" s="9"/>
      <c r="D482" s="47"/>
      <c r="E482" s="46"/>
      <c r="F482" s="46"/>
      <c r="G482" s="4"/>
      <c r="H482" s="37"/>
      <c r="I482" s="56"/>
      <c r="J482" s="35"/>
      <c r="K482" s="32"/>
      <c r="L482" s="19"/>
    </row>
    <row r="483" spans="1:12" ht="24.75" hidden="1" customHeight="1" x14ac:dyDescent="0.15">
      <c r="A483" s="18"/>
      <c r="B483" s="69"/>
      <c r="C483" s="9"/>
      <c r="D483" s="47"/>
      <c r="E483" s="46"/>
      <c r="F483" s="46"/>
      <c r="G483" s="4"/>
      <c r="H483" s="37"/>
      <c r="I483" s="56"/>
      <c r="J483" s="34"/>
      <c r="K483" s="33"/>
      <c r="L483" s="19"/>
    </row>
    <row r="484" spans="1:12" ht="24.75" hidden="1" customHeight="1" x14ac:dyDescent="0.15">
      <c r="A484" s="18"/>
      <c r="B484" s="69"/>
      <c r="C484" s="9"/>
      <c r="D484" s="47"/>
      <c r="E484" s="4"/>
      <c r="F484" s="4"/>
      <c r="G484" s="4"/>
      <c r="H484" s="37"/>
      <c r="I484" s="56"/>
      <c r="J484" s="34"/>
      <c r="K484" s="33"/>
      <c r="L484" s="19"/>
    </row>
    <row r="485" spans="1:12" ht="24.75" hidden="1" customHeight="1" x14ac:dyDescent="0.15">
      <c r="A485" s="18"/>
      <c r="B485" s="69"/>
      <c r="C485" s="9"/>
      <c r="D485" s="47"/>
      <c r="E485" s="46"/>
      <c r="F485" s="46"/>
      <c r="G485" s="4"/>
      <c r="H485" s="37"/>
      <c r="I485" s="56"/>
      <c r="J485" s="34"/>
      <c r="K485" s="33"/>
      <c r="L485" s="19"/>
    </row>
    <row r="486" spans="1:12" ht="24.75" hidden="1" customHeight="1" x14ac:dyDescent="0.15">
      <c r="A486" s="18">
        <v>0</v>
      </c>
      <c r="B486" s="69"/>
      <c r="C486" s="9"/>
      <c r="D486" s="47"/>
      <c r="E486" s="46"/>
      <c r="F486" s="46"/>
      <c r="G486" s="4"/>
      <c r="H486" s="37"/>
      <c r="I486" s="56"/>
      <c r="J486" s="34"/>
      <c r="K486" s="32"/>
      <c r="L486" s="19"/>
    </row>
    <row r="487" spans="1:12" ht="24.75" hidden="1" customHeight="1" x14ac:dyDescent="0.15">
      <c r="A487" s="18"/>
      <c r="B487" s="69"/>
      <c r="C487" s="9"/>
      <c r="D487" s="47"/>
      <c r="E487" s="46"/>
      <c r="F487" s="46"/>
      <c r="G487" s="4"/>
      <c r="H487" s="37"/>
      <c r="I487" s="56"/>
      <c r="J487" s="35"/>
      <c r="K487" s="32"/>
      <c r="L487" s="19"/>
    </row>
    <row r="488" spans="1:12" ht="24.75" hidden="1" customHeight="1" x14ac:dyDescent="0.15">
      <c r="A488" s="18"/>
      <c r="B488" s="69"/>
      <c r="C488" s="9"/>
      <c r="D488" s="47"/>
      <c r="E488" s="46"/>
      <c r="F488" s="46"/>
      <c r="G488" s="4"/>
      <c r="H488" s="37"/>
      <c r="I488" s="56"/>
      <c r="J488" s="35"/>
      <c r="K488" s="32"/>
      <c r="L488" s="19"/>
    </row>
    <row r="489" spans="1:12" ht="24.75" hidden="1" customHeight="1" x14ac:dyDescent="0.15">
      <c r="A489" s="18"/>
      <c r="B489" s="69"/>
      <c r="C489" s="9"/>
      <c r="D489" s="47"/>
      <c r="E489" s="4"/>
      <c r="F489" s="4"/>
      <c r="G489" s="4"/>
      <c r="H489" s="46"/>
      <c r="I489" s="56"/>
      <c r="J489" s="34"/>
      <c r="K489" s="33"/>
      <c r="L489" s="19"/>
    </row>
    <row r="490" spans="1:12" ht="24.75" hidden="1" customHeight="1" x14ac:dyDescent="0.15">
      <c r="A490" s="18"/>
      <c r="B490" s="5"/>
      <c r="C490" s="5"/>
      <c r="D490" s="12"/>
      <c r="E490" s="12"/>
      <c r="F490" s="12"/>
      <c r="G490" s="12"/>
      <c r="H490" s="12"/>
      <c r="I490" s="12"/>
      <c r="J490" s="6">
        <f>SUM(J5:J489)</f>
        <v>3249503.63</v>
      </c>
      <c r="K490" s="7">
        <f>SUM(K5:K489)</f>
        <v>3260967.4399999976</v>
      </c>
      <c r="L490" s="19"/>
    </row>
    <row r="491" spans="1:12" ht="3.75" customHeight="1" thickBot="1" x14ac:dyDescent="0.2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0"/>
    </row>
    <row r="492" spans="1:12" ht="21" customHeight="1" x14ac:dyDescent="0.15">
      <c r="J492" s="66"/>
    </row>
    <row r="493" spans="1:12" ht="21" customHeight="1" thickBot="1" x14ac:dyDescent="0.2">
      <c r="D493" s="40"/>
      <c r="E493" s="44"/>
      <c r="F493" s="44"/>
      <c r="G493" s="43" t="s">
        <v>4</v>
      </c>
      <c r="H493" s="44" t="s">
        <v>5</v>
      </c>
    </row>
    <row r="494" spans="1:12" ht="21" customHeight="1" thickBot="1" x14ac:dyDescent="0.2">
      <c r="D494" s="103" t="s">
        <v>365</v>
      </c>
      <c r="E494" s="104"/>
      <c r="F494" s="53"/>
      <c r="G494" s="41">
        <f t="shared" ref="G494:G509" si="6">SUMIF($H$5:$H$489,D494,$J$5:$J$489)</f>
        <v>0</v>
      </c>
      <c r="H494" s="58">
        <f t="shared" ref="H494:H509" si="7">SUMIF($H$5:$H$489,D494,$K$5:$K$489)</f>
        <v>98625.579999999987</v>
      </c>
      <c r="J494" s="101" t="s">
        <v>234</v>
      </c>
      <c r="K494" s="102"/>
    </row>
    <row r="495" spans="1:12" ht="21" customHeight="1" x14ac:dyDescent="0.15">
      <c r="D495" s="91" t="s">
        <v>24</v>
      </c>
      <c r="E495" s="92"/>
      <c r="F495" s="39"/>
      <c r="G495" s="42">
        <f t="shared" si="6"/>
        <v>28913.629999999997</v>
      </c>
      <c r="H495" s="59">
        <f t="shared" si="7"/>
        <v>381140.27000000025</v>
      </c>
      <c r="J495" s="25" t="s">
        <v>4</v>
      </c>
      <c r="K495" s="26" t="s">
        <v>5</v>
      </c>
    </row>
    <row r="496" spans="1:12" ht="21" customHeight="1" x14ac:dyDescent="0.15">
      <c r="D496" s="91" t="s">
        <v>369</v>
      </c>
      <c r="E496" s="92"/>
      <c r="F496" s="39"/>
      <c r="G496" s="42">
        <f t="shared" si="6"/>
        <v>0</v>
      </c>
      <c r="H496" s="59">
        <f t="shared" si="7"/>
        <v>3156.96</v>
      </c>
      <c r="I496" s="24"/>
      <c r="J496" s="27">
        <f>SUMIF($I$5:$I$489,"BTG",$J$5:$J$489)</f>
        <v>0</v>
      </c>
      <c r="K496" s="28">
        <f>SUMIF(I5:I489,"BTG",K5:K489)</f>
        <v>0</v>
      </c>
    </row>
    <row r="497" spans="4:11" ht="24" customHeight="1" x14ac:dyDescent="0.15">
      <c r="D497" s="91" t="s">
        <v>408</v>
      </c>
      <c r="E497" s="92"/>
      <c r="F497" s="39"/>
      <c r="G497" s="42">
        <f t="shared" si="6"/>
        <v>0</v>
      </c>
      <c r="H497" s="59">
        <f t="shared" si="7"/>
        <v>155.79</v>
      </c>
      <c r="I497" s="29" t="s">
        <v>3</v>
      </c>
      <c r="J497" s="93">
        <v>0</v>
      </c>
      <c r="K497" s="94"/>
    </row>
    <row r="498" spans="4:11" ht="24" customHeight="1" x14ac:dyDescent="0.15">
      <c r="D498" s="91" t="s">
        <v>367</v>
      </c>
      <c r="E498" s="92"/>
      <c r="F498" s="39"/>
      <c r="G498" s="42">
        <f t="shared" si="6"/>
        <v>0</v>
      </c>
      <c r="H498" s="59">
        <f t="shared" si="7"/>
        <v>32522.739999999998</v>
      </c>
      <c r="I498" s="29" t="s">
        <v>7</v>
      </c>
      <c r="J498" s="95">
        <f>J497+J496-K496</f>
        <v>0</v>
      </c>
      <c r="K498" s="96"/>
    </row>
    <row r="499" spans="4:11" ht="24" customHeight="1" x14ac:dyDescent="0.15">
      <c r="D499" s="91" t="s">
        <v>372</v>
      </c>
      <c r="E499" s="92"/>
      <c r="F499" s="39"/>
      <c r="G499" s="42">
        <f t="shared" si="6"/>
        <v>0</v>
      </c>
      <c r="H499" s="59">
        <f t="shared" si="7"/>
        <v>0</v>
      </c>
      <c r="I499" s="68" t="s">
        <v>13</v>
      </c>
      <c r="J499" s="93">
        <v>0</v>
      </c>
      <c r="K499" s="94"/>
    </row>
    <row r="500" spans="4:11" ht="24" customHeight="1" x14ac:dyDescent="0.15">
      <c r="D500" s="91" t="s">
        <v>371</v>
      </c>
      <c r="E500" s="92"/>
      <c r="F500" s="39"/>
      <c r="G500" s="42">
        <f t="shared" si="6"/>
        <v>0</v>
      </c>
      <c r="H500" s="59">
        <f t="shared" si="7"/>
        <v>39827.639999999992</v>
      </c>
      <c r="I500" s="68" t="s">
        <v>14</v>
      </c>
      <c r="J500" s="97">
        <f>J499+J498</f>
        <v>0</v>
      </c>
      <c r="K500" s="98"/>
    </row>
    <row r="501" spans="4:11" ht="21" customHeight="1" thickBot="1" x14ac:dyDescent="0.2">
      <c r="D501" s="91" t="s">
        <v>373</v>
      </c>
      <c r="E501" s="92"/>
      <c r="F501" s="39"/>
      <c r="G501" s="42">
        <f t="shared" si="6"/>
        <v>0</v>
      </c>
      <c r="H501" s="59">
        <f t="shared" si="7"/>
        <v>0</v>
      </c>
      <c r="I501" s="60"/>
      <c r="J501" s="99"/>
      <c r="K501" s="100"/>
    </row>
    <row r="502" spans="4:11" ht="21" customHeight="1" thickBot="1" x14ac:dyDescent="0.2">
      <c r="D502" s="91" t="s">
        <v>370</v>
      </c>
      <c r="E502" s="92"/>
      <c r="F502" s="39"/>
      <c r="G502" s="42">
        <f t="shared" si="6"/>
        <v>0</v>
      </c>
      <c r="H502" s="59">
        <f t="shared" si="7"/>
        <v>10000</v>
      </c>
      <c r="I502"/>
    </row>
    <row r="503" spans="4:11" ht="21" customHeight="1" thickBot="1" x14ac:dyDescent="0.2">
      <c r="D503" s="91" t="s">
        <v>366</v>
      </c>
      <c r="E503" s="92"/>
      <c r="F503" s="39"/>
      <c r="G503" s="42">
        <f t="shared" si="6"/>
        <v>0</v>
      </c>
      <c r="H503" s="59">
        <f t="shared" si="7"/>
        <v>8000</v>
      </c>
      <c r="J503" s="101" t="s">
        <v>25</v>
      </c>
      <c r="K503" s="102"/>
    </row>
    <row r="504" spans="4:11" ht="21" customHeight="1" x14ac:dyDescent="0.15">
      <c r="D504" s="91" t="s">
        <v>374</v>
      </c>
      <c r="E504" s="92"/>
      <c r="F504" s="39"/>
      <c r="G504" s="42">
        <f t="shared" si="6"/>
        <v>0</v>
      </c>
      <c r="H504" s="59">
        <f t="shared" si="7"/>
        <v>0</v>
      </c>
      <c r="J504" s="25" t="s">
        <v>4</v>
      </c>
      <c r="K504" s="26" t="s">
        <v>5</v>
      </c>
    </row>
    <row r="505" spans="4:11" ht="21" customHeight="1" x14ac:dyDescent="0.15">
      <c r="D505" s="91" t="s">
        <v>368</v>
      </c>
      <c r="E505" s="92"/>
      <c r="F505" s="39"/>
      <c r="G505" s="42">
        <f t="shared" si="6"/>
        <v>0</v>
      </c>
      <c r="H505" s="59">
        <f t="shared" si="7"/>
        <v>42500</v>
      </c>
      <c r="J505" s="27">
        <f>SUMIF($I$5:$I$489,"SANTANDER",$J$5:$J$489)</f>
        <v>3249503.63</v>
      </c>
      <c r="K505" s="28">
        <f>SUMIF($I$5:$I$489,"SANTANDER",$K$5:$K$489)</f>
        <v>3254607.549999998</v>
      </c>
    </row>
    <row r="506" spans="4:11" ht="21" customHeight="1" x14ac:dyDescent="0.15">
      <c r="D506" s="91" t="s">
        <v>362</v>
      </c>
      <c r="E506" s="92"/>
      <c r="F506" s="39"/>
      <c r="G506" s="42">
        <f t="shared" si="6"/>
        <v>0</v>
      </c>
      <c r="H506" s="59">
        <f t="shared" si="7"/>
        <v>534794.1100000001</v>
      </c>
      <c r="I506" s="29" t="s">
        <v>3</v>
      </c>
      <c r="J506" s="93">
        <v>6337.1</v>
      </c>
      <c r="K506" s="94"/>
    </row>
    <row r="507" spans="4:11" ht="21" customHeight="1" x14ac:dyDescent="0.15">
      <c r="D507" s="91" t="s">
        <v>363</v>
      </c>
      <c r="E507" s="92"/>
      <c r="F507" s="39"/>
      <c r="G507" s="42">
        <f t="shared" si="6"/>
        <v>0</v>
      </c>
      <c r="H507" s="59">
        <f t="shared" si="7"/>
        <v>1745535.26</v>
      </c>
      <c r="I507" s="29" t="s">
        <v>7</v>
      </c>
      <c r="J507" s="95">
        <f>J506+J505-K505</f>
        <v>1233.1800000020303</v>
      </c>
      <c r="K507" s="96"/>
    </row>
    <row r="508" spans="4:11" ht="21" customHeight="1" x14ac:dyDescent="0.15">
      <c r="D508" s="91" t="s">
        <v>364</v>
      </c>
      <c r="E508" s="92"/>
      <c r="F508" s="39"/>
      <c r="G508" s="42">
        <f t="shared" si="6"/>
        <v>0</v>
      </c>
      <c r="H508" s="59">
        <f t="shared" si="7"/>
        <v>358709.09000000008</v>
      </c>
      <c r="I508" s="68" t="s">
        <v>13</v>
      </c>
      <c r="J508" s="93">
        <v>0</v>
      </c>
      <c r="K508" s="94"/>
    </row>
    <row r="509" spans="4:11" ht="21" customHeight="1" thickBot="1" x14ac:dyDescent="0.2">
      <c r="D509" s="84" t="s">
        <v>119</v>
      </c>
      <c r="E509" s="85"/>
      <c r="F509" s="65"/>
      <c r="G509" s="54">
        <f t="shared" si="6"/>
        <v>3220590</v>
      </c>
      <c r="H509" s="48">
        <f t="shared" si="7"/>
        <v>6000</v>
      </c>
      <c r="I509" s="68" t="s">
        <v>14</v>
      </c>
      <c r="J509" s="86">
        <f>J508+J507</f>
        <v>1233.1800000020303</v>
      </c>
      <c r="K509" s="87"/>
    </row>
    <row r="510" spans="4:11" ht="21" customHeight="1" x14ac:dyDescent="0.15">
      <c r="D510" s="88" t="s">
        <v>49</v>
      </c>
      <c r="E510" s="89"/>
      <c r="F510" s="64"/>
      <c r="G510" s="49">
        <f>SUBTOTAL(9,G490:G509)</f>
        <v>3249503.63</v>
      </c>
      <c r="H510" s="50">
        <f>SUBTOTAL(9,H490:H509)</f>
        <v>3260967.4400000004</v>
      </c>
      <c r="I510" s="60"/>
      <c r="J510" s="90"/>
      <c r="K510" s="90"/>
    </row>
    <row r="511" spans="4:11" ht="23.25" customHeight="1" x14ac:dyDescent="0.15">
      <c r="D511" s="39"/>
      <c r="E511" s="45"/>
      <c r="F511" s="45"/>
      <c r="G511" s="61">
        <f>J490-G510</f>
        <v>0</v>
      </c>
      <c r="H511" s="62">
        <f>K490-H510</f>
        <v>0</v>
      </c>
    </row>
    <row r="512" spans="4:11" ht="23.25" customHeight="1" x14ac:dyDescent="0.15">
      <c r="D512" s="39"/>
      <c r="E512" s="45"/>
      <c r="F512" s="45"/>
      <c r="G512" s="61"/>
      <c r="H512" s="62"/>
    </row>
  </sheetData>
  <autoFilter ref="B4:K490" xr:uid="{573AAD96-6B64-47C7-949A-D8649C2D1F40}">
    <filterColumn colId="1">
      <filters>
        <dateGroupItem year="2026" month="2" day="13" dateTimeGrouping="day"/>
        <dateGroupItem year="2026" month="2" day="18" dateTimeGrouping="day"/>
        <dateGroupItem year="2026" month="2" day="19" dateTimeGrouping="day"/>
        <dateGroupItem year="2026" month="2" day="20" dateTimeGrouping="day"/>
        <dateGroupItem year="2026" month="2" day="22" dateTimeGrouping="day"/>
        <dateGroupItem year="2026" month="2" day="23" dateTimeGrouping="day"/>
      </filters>
    </filterColumn>
    <filterColumn colId="6">
      <filters>
        <filter val="ANDRÉIA - PARTICULAR"/>
        <filter val="CESARI - CUBATÃO"/>
        <filter val="ESCRITÓRIO - SANTOS"/>
        <filter val="INPASA - SIDRÔLANDIA"/>
        <filter val="SMALL - PRESIDENTE PRUDENTE"/>
        <filter val="TECNOMONTE"/>
        <filter val="TRANSFERÊNCIA ENTRE CONTAS"/>
      </filters>
    </filterColumn>
    <sortState xmlns:xlrd2="http://schemas.microsoft.com/office/spreadsheetml/2017/richdata2" ref="B341:K424">
      <sortCondition descending="1" ref="J4:J490"/>
    </sortState>
  </autoFilter>
  <mergeCells count="31">
    <mergeCell ref="D494:E494"/>
    <mergeCell ref="J494:K494"/>
    <mergeCell ref="A3:L3"/>
    <mergeCell ref="B2:K2"/>
    <mergeCell ref="D495:E495"/>
    <mergeCell ref="D496:E496"/>
    <mergeCell ref="D497:E497"/>
    <mergeCell ref="J497:K497"/>
    <mergeCell ref="D498:E498"/>
    <mergeCell ref="J498:K498"/>
    <mergeCell ref="D505:E505"/>
    <mergeCell ref="D499:E499"/>
    <mergeCell ref="J499:K499"/>
    <mergeCell ref="D500:E500"/>
    <mergeCell ref="J500:K500"/>
    <mergeCell ref="D501:E501"/>
    <mergeCell ref="J501:K501"/>
    <mergeCell ref="D502:E502"/>
    <mergeCell ref="D503:E503"/>
    <mergeCell ref="J503:K503"/>
    <mergeCell ref="D504:E504"/>
    <mergeCell ref="D509:E509"/>
    <mergeCell ref="J509:K509"/>
    <mergeCell ref="D510:E510"/>
    <mergeCell ref="J510:K510"/>
    <mergeCell ref="D506:E506"/>
    <mergeCell ref="J506:K506"/>
    <mergeCell ref="D507:E507"/>
    <mergeCell ref="J507:K507"/>
    <mergeCell ref="D508:E508"/>
    <mergeCell ref="J508:K508"/>
  </mergeCells>
  <conditionalFormatting sqref="E5:E11">
    <cfRule type="cellIs" dxfId="8944" priority="12973" operator="equal">
      <formula>"IDENTIFICAR"</formula>
    </cfRule>
  </conditionalFormatting>
  <conditionalFormatting sqref="E13:E28">
    <cfRule type="cellIs" dxfId="8943" priority="6124" operator="equal">
      <formula>"IDENTIFICAR"</formula>
    </cfRule>
  </conditionalFormatting>
  <conditionalFormatting sqref="E42:E45">
    <cfRule type="cellIs" dxfId="8942" priority="6135" operator="equal">
      <formula>"IDENTIFICAR"</formula>
    </cfRule>
  </conditionalFormatting>
  <conditionalFormatting sqref="E98">
    <cfRule type="cellIs" dxfId="8941" priority="6125" operator="equal">
      <formula>"IDENTIFICAR"</formula>
    </cfRule>
  </conditionalFormatting>
  <conditionalFormatting sqref="E105:E111">
    <cfRule type="cellIs" dxfId="8940" priority="6133" operator="equal">
      <formula>"IDENTIFICAR"</formula>
    </cfRule>
  </conditionalFormatting>
  <conditionalFormatting sqref="E149">
    <cfRule type="cellIs" dxfId="8939" priority="12967" operator="equal">
      <formula>"IDENTIFICAR"</formula>
    </cfRule>
  </conditionalFormatting>
  <conditionalFormatting sqref="E158">
    <cfRule type="cellIs" dxfId="8938" priority="6121" operator="equal">
      <formula>"IDENTIFICAR"</formula>
    </cfRule>
  </conditionalFormatting>
  <conditionalFormatting sqref="E170">
    <cfRule type="cellIs" dxfId="8937" priority="12962" operator="equal">
      <formula>"IDENTIFICAR"</formula>
    </cfRule>
  </conditionalFormatting>
  <conditionalFormatting sqref="E231:E242">
    <cfRule type="cellIs" dxfId="8936" priority="6107" operator="equal">
      <formula>"IDENTIFICAR"</formula>
    </cfRule>
  </conditionalFormatting>
  <conditionalFormatting sqref="E244:E259">
    <cfRule type="cellIs" dxfId="8935" priority="6104" operator="equal">
      <formula>"IDENTIFICAR"</formula>
    </cfRule>
  </conditionalFormatting>
  <conditionalFormatting sqref="E12:F12">
    <cfRule type="cellIs" dxfId="8934" priority="12995" operator="equal">
      <formula>"IDENTIFICAR"</formula>
    </cfRule>
  </conditionalFormatting>
  <conditionalFormatting sqref="E46:F97">
    <cfRule type="cellIs" dxfId="8933" priority="6117" operator="equal">
      <formula>"IDENTIFICAR"</formula>
    </cfRule>
  </conditionalFormatting>
  <conditionalFormatting sqref="E99:F104">
    <cfRule type="cellIs" dxfId="8932" priority="6115" operator="equal">
      <formula>"IDENTIFICAR"</formula>
    </cfRule>
  </conditionalFormatting>
  <conditionalFormatting sqref="E112:F148">
    <cfRule type="cellIs" dxfId="8931" priority="6103" operator="equal">
      <formula>"IDENTIFICAR"</formula>
    </cfRule>
  </conditionalFormatting>
  <conditionalFormatting sqref="E150:F157">
    <cfRule type="cellIs" dxfId="8930" priority="6110" operator="equal">
      <formula>"IDENTIFICAR"</formula>
    </cfRule>
  </conditionalFormatting>
  <conditionalFormatting sqref="E159:F169">
    <cfRule type="cellIs" dxfId="8929" priority="6109" operator="equal">
      <formula>"IDENTIFICAR"</formula>
    </cfRule>
  </conditionalFormatting>
  <conditionalFormatting sqref="E171:F190 E193:F193 F256:F258">
    <cfRule type="cellIs" dxfId="8928" priority="13129" operator="equal">
      <formula>"IDENTIFICAR"</formula>
    </cfRule>
  </conditionalFormatting>
  <conditionalFormatting sqref="E198:F230">
    <cfRule type="cellIs" dxfId="8927" priority="6119" operator="equal">
      <formula>"IDENTIFICAR"</formula>
    </cfRule>
  </conditionalFormatting>
  <conditionalFormatting sqref="E259:F284">
    <cfRule type="cellIs" dxfId="8926" priority="2328" operator="equal">
      <formula>"IDENTIFICAR"</formula>
    </cfRule>
  </conditionalFormatting>
  <conditionalFormatting sqref="E288:F332">
    <cfRule type="cellIs" dxfId="8925" priority="1663" operator="equal">
      <formula>"IDENTIFICAR"</formula>
    </cfRule>
  </conditionalFormatting>
  <conditionalFormatting sqref="E334:F340">
    <cfRule type="cellIs" dxfId="8924" priority="1234" operator="equal">
      <formula>"IDENTIFICAR"</formula>
    </cfRule>
  </conditionalFormatting>
  <conditionalFormatting sqref="E343:F343">
    <cfRule type="cellIs" dxfId="8923" priority="4014" operator="equal">
      <formula>"IDENTIFICAR"</formula>
    </cfRule>
  </conditionalFormatting>
  <conditionalFormatting sqref="E351:F351">
    <cfRule type="cellIs" dxfId="8922" priority="4015" operator="equal">
      <formula>"IDENTIFICAR"</formula>
    </cfRule>
  </conditionalFormatting>
  <conditionalFormatting sqref="E358:F358">
    <cfRule type="cellIs" dxfId="8921" priority="4145" operator="equal">
      <formula>"IDENTIFICAR"</formula>
    </cfRule>
  </conditionalFormatting>
  <conditionalFormatting sqref="E366:F366">
    <cfRule type="cellIs" dxfId="8920" priority="4275" operator="equal">
      <formula>"IDENTIFICAR"</formula>
    </cfRule>
  </conditionalFormatting>
  <conditionalFormatting sqref="E374:F374">
    <cfRule type="cellIs" dxfId="8919" priority="4276" operator="equal">
      <formula>"IDENTIFICAR"</formula>
    </cfRule>
  </conditionalFormatting>
  <conditionalFormatting sqref="E381:F381">
    <cfRule type="cellIs" dxfId="8918" priority="4406" operator="equal">
      <formula>"IDENTIFICAR"</formula>
    </cfRule>
  </conditionalFormatting>
  <conditionalFormatting sqref="E389:F389">
    <cfRule type="cellIs" dxfId="8917" priority="4536" operator="equal">
      <formula>"IDENTIFICAR"</formula>
    </cfRule>
  </conditionalFormatting>
  <conditionalFormatting sqref="E397:F397">
    <cfRule type="cellIs" dxfId="8916" priority="4537" operator="equal">
      <formula>"IDENTIFICAR"</formula>
    </cfRule>
  </conditionalFormatting>
  <conditionalFormatting sqref="E404:F404">
    <cfRule type="cellIs" dxfId="8915" priority="4667" operator="equal">
      <formula>"IDENTIFICAR"</formula>
    </cfRule>
  </conditionalFormatting>
  <conditionalFormatting sqref="E412:F412">
    <cfRule type="cellIs" dxfId="8914" priority="4797" operator="equal">
      <formula>"IDENTIFICAR"</formula>
    </cfRule>
  </conditionalFormatting>
  <conditionalFormatting sqref="E420:F420">
    <cfRule type="cellIs" dxfId="8913" priority="4798" operator="equal">
      <formula>"IDENTIFICAR"</formula>
    </cfRule>
  </conditionalFormatting>
  <conditionalFormatting sqref="E427:F427">
    <cfRule type="cellIs" dxfId="8912" priority="4928" operator="equal">
      <formula>"IDENTIFICAR"</formula>
    </cfRule>
  </conditionalFormatting>
  <conditionalFormatting sqref="E435:F435">
    <cfRule type="cellIs" dxfId="8911" priority="5058" operator="equal">
      <formula>"IDENTIFICAR"</formula>
    </cfRule>
  </conditionalFormatting>
  <conditionalFormatting sqref="E443:F443">
    <cfRule type="cellIs" dxfId="8910" priority="5059" operator="equal">
      <formula>"IDENTIFICAR"</formula>
    </cfRule>
  </conditionalFormatting>
  <conditionalFormatting sqref="E450:F450">
    <cfRule type="cellIs" dxfId="8909" priority="5189" operator="equal">
      <formula>"IDENTIFICAR"</formula>
    </cfRule>
  </conditionalFormatting>
  <conditionalFormatting sqref="E458:F458">
    <cfRule type="cellIs" dxfId="8908" priority="5319" operator="equal">
      <formula>"IDENTIFICAR"</formula>
    </cfRule>
  </conditionalFormatting>
  <conditionalFormatting sqref="E468:F468">
    <cfRule type="cellIs" dxfId="8907" priority="1" operator="equal">
      <formula>"IDENTIFICAR"</formula>
    </cfRule>
  </conditionalFormatting>
  <conditionalFormatting sqref="E475:F475">
    <cfRule type="cellIs" dxfId="8906" priority="123" operator="equal">
      <formula>"IDENTIFICAR"</formula>
    </cfRule>
  </conditionalFormatting>
  <conditionalFormatting sqref="E483:F483">
    <cfRule type="cellIs" dxfId="8905" priority="245" operator="equal">
      <formula>"IDENTIFICAR"</formula>
    </cfRule>
  </conditionalFormatting>
  <conditionalFormatting sqref="F26:F30">
    <cfRule type="cellIs" dxfId="8904" priority="6123" operator="equal">
      <formula>"IDENTIFICAR"</formula>
    </cfRule>
  </conditionalFormatting>
  <conditionalFormatting sqref="F33:F36">
    <cfRule type="cellIs" dxfId="8903" priority="12930" operator="equal">
      <formula>"IDENTIFICAR"</formula>
    </cfRule>
  </conditionalFormatting>
  <conditionalFormatting sqref="F105:F108">
    <cfRule type="cellIs" dxfId="8902" priority="12923" operator="equal">
      <formula>"IDENTIFICAR"</formula>
    </cfRule>
  </conditionalFormatting>
  <conditionalFormatting sqref="F232:F234 E235:F235 F236:F238 E239:F243">
    <cfRule type="cellIs" dxfId="8901" priority="12960" operator="equal">
      <formula>"IDENTIFICAR"</formula>
    </cfRule>
  </conditionalFormatting>
  <conditionalFormatting sqref="F244:F254">
    <cfRule type="cellIs" dxfId="8900" priority="6579" operator="equal">
      <formula>"IDENTIFICAR"</formula>
    </cfRule>
  </conditionalFormatting>
  <conditionalFormatting sqref="H5:H489 D493:D494">
    <cfRule type="cellIs" dxfId="8899" priority="13128" operator="equal">
      <formula>"IDENTIFICAR"</formula>
    </cfRule>
  </conditionalFormatting>
  <conditionalFormatting sqref="I1:I3 I503:I1048576">
    <cfRule type="cellIs" dxfId="8898" priority="13121" operator="equal">
      <formula>"BRADESCO"</formula>
    </cfRule>
    <cfRule type="cellIs" dxfId="8897" priority="13120" operator="equal">
      <formula>"DINHEIRO"</formula>
    </cfRule>
    <cfRule type="cellIs" dxfId="8896" priority="13116" operator="equal">
      <formula>"ITAÚ"</formula>
    </cfRule>
  </conditionalFormatting>
  <conditionalFormatting sqref="I1:I501">
    <cfRule type="cellIs" dxfId="8895" priority="1443" operator="equal">
      <formula>"ITAÚ ("</formula>
    </cfRule>
    <cfRule type="cellIs" dxfId="8894" priority="1442" operator="equal">
      <formula>"ITAÚ - MATRIZ (CG)"</formula>
    </cfRule>
    <cfRule type="cellIs" dxfId="8893" priority="1441" operator="equal">
      <formula>"ITAÚ - FILIAL (CG)"</formula>
    </cfRule>
    <cfRule type="cellIs" dxfId="8892" priority="1440" operator="equal">
      <formula>"DAYCOVAL (CG)"</formula>
    </cfRule>
    <cfRule type="cellIs" dxfId="8891" priority="1439" operator="equal">
      <formula>"OPERAÇÕES (ANDREIA)"</formula>
    </cfRule>
    <cfRule type="cellIs" dxfId="8890" priority="1438" operator="equal">
      <formula>"PAGAMENTOS (ANDREIA)"</formula>
    </cfRule>
  </conditionalFormatting>
  <conditionalFormatting sqref="I5:I20">
    <cfRule type="cellIs" dxfId="8889" priority="12203" operator="between">
      <formula>"SAFRA"</formula>
      <formula>"SAFRA"</formula>
    </cfRule>
    <cfRule type="cellIs" dxfId="8888" priority="12454" operator="between">
      <formula>"ITAÚ FILIAL"</formula>
      <formula>"ITAÚ FILIAL"</formula>
    </cfRule>
    <cfRule type="cellIs" dxfId="8887" priority="12413" operator="equal">
      <formula>"ITAÚ"</formula>
    </cfRule>
    <cfRule type="cellIs" dxfId="8886" priority="12412" operator="between">
      <formula>"ITAÚ MATRIZ"</formula>
      <formula>"ITAÚ MATRIZ"</formula>
    </cfRule>
    <cfRule type="cellIs" dxfId="8885" priority="12411" operator="equal">
      <formula>"ITAÚ MATRIZ"</formula>
    </cfRule>
    <cfRule type="cellIs" dxfId="8884" priority="12410" operator="equal">
      <formula>"ITAÚ"</formula>
    </cfRule>
    <cfRule type="cellIs" dxfId="8883" priority="12409" operator="between">
      <formula>"ITAÚ FILIAL"</formula>
      <formula>"ITAÚ FILIAL"</formula>
    </cfRule>
    <cfRule type="cellIs" dxfId="8882" priority="12408" operator="between">
      <formula>"ITAÚ FILIAL"</formula>
      <formula>"ITAÚ FILIAL"</formula>
    </cfRule>
    <cfRule type="cellIs" dxfId="8881" priority="12407" operator="between">
      <formula>"DAYCOVAL"</formula>
      <formula>"DAYCOVAL"</formula>
    </cfRule>
    <cfRule type="cellIs" dxfId="8880" priority="12406" operator="between">
      <formula>"SAFRA"</formula>
      <formula>"SAFRA"</formula>
    </cfRule>
    <cfRule type="cellIs" dxfId="8879" priority="12405" operator="between">
      <formula>"SAFRA"</formula>
      <formula>"SAFRA"</formula>
    </cfRule>
    <cfRule type="cellIs" dxfId="8878" priority="12404" operator="equal">
      <formula>"ITAÚ"</formula>
    </cfRule>
    <cfRule type="cellIs" dxfId="8877" priority="12403" operator="equal">
      <formula>"ITAÚ"</formula>
    </cfRule>
    <cfRule type="cellIs" dxfId="8876" priority="12402" operator="between">
      <formula>"ITAÚ MATRIZ"</formula>
      <formula>"ITAÚ MATRIZ"</formula>
    </cfRule>
    <cfRule type="cellIs" dxfId="8875" priority="12401" operator="between">
      <formula>"ITAÚ FILIAL"</formula>
      <formula>"ITAÚ FILIAL"</formula>
    </cfRule>
    <cfRule type="cellIs" dxfId="8874" priority="12400" operator="between">
      <formula>"ITAÚ FILIAL"</formula>
      <formula>"ITAÚ FILIAL"</formula>
    </cfRule>
    <cfRule type="cellIs" dxfId="8873" priority="12399" operator="between">
      <formula>"DAYCOVAL"</formula>
      <formula>"DAYCOVAL"</formula>
    </cfRule>
    <cfRule type="cellIs" dxfId="8872" priority="12398" operator="between">
      <formula>"SAFRA"</formula>
      <formula>"SAFRA"</formula>
    </cfRule>
    <cfRule type="cellIs" dxfId="8871" priority="12397" operator="between">
      <formula>"SAFRA"</formula>
      <formula>"SAFRA"</formula>
    </cfRule>
    <cfRule type="cellIs" dxfId="8870" priority="12396" operator="equal">
      <formula>"ITAÚ MATRIZ"</formula>
    </cfRule>
    <cfRule type="cellIs" dxfId="8869" priority="12395" operator="equal">
      <formula>"ITAÚ"</formula>
    </cfRule>
    <cfRule type="cellIs" dxfId="8868" priority="12394" operator="equal">
      <formula>"ITAÚ"</formula>
    </cfRule>
    <cfRule type="cellIs" dxfId="8867" priority="12393" operator="between">
      <formula>"ITAÚ MATRIZ"</formula>
      <formula>"ITAÚ MATRIZ"</formula>
    </cfRule>
    <cfRule type="cellIs" dxfId="8866" priority="12392" operator="between">
      <formula>"ITAÚ FILIAL"</formula>
      <formula>"ITAÚ FILIAL"</formula>
    </cfRule>
    <cfRule type="cellIs" dxfId="8865" priority="12391" operator="between">
      <formula>"ITAÚ FILIAL"</formula>
      <formula>"ITAÚ FILIAL"</formula>
    </cfRule>
    <cfRule type="cellIs" dxfId="8864" priority="12390" operator="between">
      <formula>"DAYCOVAL"</formula>
      <formula>"DAYCOVAL"</formula>
    </cfRule>
    <cfRule type="cellIs" dxfId="8863" priority="12389" operator="between">
      <formula>"SAFRA"</formula>
      <formula>"SAFRA"</formula>
    </cfRule>
    <cfRule type="cellIs" dxfId="8862" priority="12388" operator="between">
      <formula>"SAFRA"</formula>
      <formula>"SAFRA"</formula>
    </cfRule>
    <cfRule type="cellIs" dxfId="8861" priority="12387" operator="equal">
      <formula>"ITAÚ MATRIZ"</formula>
    </cfRule>
    <cfRule type="cellIs" dxfId="8860" priority="12386" operator="equal">
      <formula>"ITAÚ"</formula>
    </cfRule>
    <cfRule type="cellIs" dxfId="8859" priority="12385" operator="equal">
      <formula>"ITAÚ"</formula>
    </cfRule>
    <cfRule type="cellIs" dxfId="8858" priority="12384" operator="between">
      <formula>"ITAÚ MATRIZ"</formula>
      <formula>"ITAÚ MATRIZ"</formula>
    </cfRule>
    <cfRule type="cellIs" dxfId="8857" priority="12383" operator="between">
      <formula>"ITAÚ FILIAL"</formula>
      <formula>"ITAÚ FILIAL"</formula>
    </cfRule>
    <cfRule type="cellIs" dxfId="8856" priority="12382" operator="between">
      <formula>"ITAÚ FILIAL"</formula>
      <formula>"ITAÚ FILIAL"</formula>
    </cfRule>
    <cfRule type="cellIs" dxfId="8855" priority="12381" operator="between">
      <formula>"DAYCOVAL"</formula>
      <formula>"DAYCOVAL"</formula>
    </cfRule>
    <cfRule type="cellIs" dxfId="8854" priority="12380" operator="between">
      <formula>"SAFRA"</formula>
      <formula>"SAFRA"</formula>
    </cfRule>
    <cfRule type="cellIs" dxfId="8853" priority="12379" operator="between">
      <formula>"SAFRA"</formula>
      <formula>"SAFRA"</formula>
    </cfRule>
    <cfRule type="cellIs" dxfId="8852" priority="12378" operator="equal">
      <formula>"ITAÚ MATRIZ"</formula>
    </cfRule>
    <cfRule type="cellIs" dxfId="8851" priority="12377" operator="equal">
      <formula>"ITAÚ"</formula>
    </cfRule>
    <cfRule type="cellIs" dxfId="8850" priority="12376" operator="equal">
      <formula>"ITAÚ"</formula>
    </cfRule>
    <cfRule type="cellIs" dxfId="8849" priority="12375" operator="between">
      <formula>"ITAÚ MATRIZ"</formula>
      <formula>"ITAÚ MATRIZ"</formula>
    </cfRule>
    <cfRule type="cellIs" dxfId="8848" priority="12374" operator="between">
      <formula>"ITAÚ FILIAL"</formula>
      <formula>"ITAÚ FILIAL"</formula>
    </cfRule>
    <cfRule type="cellIs" dxfId="8847" priority="12373" operator="between">
      <formula>"ITAÚ FILIAL"</formula>
      <formula>"ITAÚ FILIAL"</formula>
    </cfRule>
    <cfRule type="cellIs" dxfId="8846" priority="12372" operator="between">
      <formula>"DAYCOVAL"</formula>
      <formula>"DAYCOVAL"</formula>
    </cfRule>
    <cfRule type="cellIs" dxfId="8845" priority="12371" operator="between">
      <formula>"SAFRA"</formula>
      <formula>"SAFRA"</formula>
    </cfRule>
    <cfRule type="cellIs" dxfId="8844" priority="12370" operator="between">
      <formula>"SAFRA"</formula>
      <formula>"SAFRA"</formula>
    </cfRule>
    <cfRule type="cellIs" dxfId="8843" priority="12369" operator="equal">
      <formula>"ITAÚ MATRIZ"</formula>
    </cfRule>
    <cfRule type="cellIs" dxfId="8842" priority="12368" operator="equal">
      <formula>"ITAÚ"</formula>
    </cfRule>
    <cfRule type="cellIs" dxfId="8841" priority="12367" operator="equal">
      <formula>"ITAÚ"</formula>
    </cfRule>
    <cfRule type="cellIs" dxfId="8840" priority="12366" operator="between">
      <formula>"ITAÚ MATRIZ"</formula>
      <formula>"ITAÚ MATRIZ"</formula>
    </cfRule>
    <cfRule type="cellIs" dxfId="8839" priority="12365" operator="between">
      <formula>"ITAÚ FILIAL"</formula>
      <formula>"ITAÚ FILIAL"</formula>
    </cfRule>
    <cfRule type="cellIs" dxfId="8838" priority="12364" operator="between">
      <formula>"ITAÚ FILIAL"</formula>
      <formula>"ITAÚ FILIAL"</formula>
    </cfRule>
    <cfRule type="cellIs" dxfId="8837" priority="12363" operator="between">
      <formula>"DAYCOVAL"</formula>
      <formula>"DAYCOVAL"</formula>
    </cfRule>
    <cfRule type="cellIs" dxfId="8836" priority="12362" operator="between">
      <formula>"SAFRA"</formula>
      <formula>"SAFRA"</formula>
    </cfRule>
    <cfRule type="cellIs" dxfId="8835" priority="12361" operator="between">
      <formula>"SAFRA"</formula>
      <formula>"SAFRA"</formula>
    </cfRule>
    <cfRule type="cellIs" dxfId="8834" priority="12360" operator="equal">
      <formula>"ITAÚ MATRIZ"</formula>
    </cfRule>
    <cfRule type="cellIs" dxfId="8833" priority="12359" operator="equal">
      <formula>"ITAÚ"</formula>
    </cfRule>
    <cfRule type="cellIs" dxfId="8832" priority="12358" operator="between">
      <formula>"ITAÚ MATRIZ"</formula>
      <formula>"ITAÚ MATRIZ"</formula>
    </cfRule>
    <cfRule type="cellIs" dxfId="8831" priority="12357" operator="equal">
      <formula>"ITAÚ MATRIZ"</formula>
    </cfRule>
    <cfRule type="cellIs" dxfId="8830" priority="12356" operator="equal">
      <formula>"ITAÚ"</formula>
    </cfRule>
    <cfRule type="cellIs" dxfId="8829" priority="12355" operator="between">
      <formula>"ITAÚ FILIAL"</formula>
      <formula>"ITAÚ FILIAL"</formula>
    </cfRule>
    <cfRule type="cellIs" dxfId="8828" priority="12354" operator="between">
      <formula>"ITAÚ FILIAL"</formula>
      <formula>"ITAÚ FILIAL"</formula>
    </cfRule>
    <cfRule type="cellIs" dxfId="8827" priority="12353" operator="between">
      <formula>"DAYCOVAL"</formula>
      <formula>"DAYCOVAL"</formula>
    </cfRule>
    <cfRule type="cellIs" dxfId="8826" priority="12352" operator="between">
      <formula>"SAFRA"</formula>
      <formula>"SAFRA"</formula>
    </cfRule>
    <cfRule type="cellIs" dxfId="8825" priority="12351" operator="between">
      <formula>"SAFRA"</formula>
      <formula>"SAFRA"</formula>
    </cfRule>
    <cfRule type="cellIs" dxfId="8824" priority="12425" operator="between">
      <formula>"DAYCOVAL"</formula>
      <formula>"DAYCOVAL"</formula>
    </cfRule>
    <cfRule type="cellIs" dxfId="8823" priority="12350" operator="equal">
      <formula>"ITAÚ"</formula>
    </cfRule>
    <cfRule type="cellIs" dxfId="8822" priority="12349" operator="equal">
      <formula>"ITAÚ"</formula>
    </cfRule>
    <cfRule type="cellIs" dxfId="8821" priority="12348" operator="between">
      <formula>"ITAÚ MATRIZ"</formula>
      <formula>"ITAÚ MATRIZ"</formula>
    </cfRule>
    <cfRule type="cellIs" dxfId="8820" priority="12347" operator="between">
      <formula>"ITAÚ FILIAL"</formula>
      <formula>"ITAÚ FILIAL"</formula>
    </cfRule>
    <cfRule type="cellIs" dxfId="8819" priority="12346" operator="between">
      <formula>"ITAÚ FILIAL"</formula>
      <formula>"ITAÚ FILIAL"</formula>
    </cfRule>
    <cfRule type="cellIs" dxfId="8818" priority="12345" operator="between">
      <formula>"DAYCOVAL"</formula>
      <formula>"DAYCOVAL"</formula>
    </cfRule>
    <cfRule type="cellIs" dxfId="8817" priority="12344" operator="between">
      <formula>"SAFRA"</formula>
      <formula>"SAFRA"</formula>
    </cfRule>
    <cfRule type="cellIs" dxfId="8816" priority="12343" operator="between">
      <formula>"SAFRA"</formula>
      <formula>"SAFRA"</formula>
    </cfRule>
    <cfRule type="cellIs" dxfId="8815" priority="12342" operator="equal">
      <formula>"ITAÚ MATRIZ"</formula>
    </cfRule>
    <cfRule type="cellIs" dxfId="8814" priority="12341" operator="equal">
      <formula>"ITAÚ"</formula>
    </cfRule>
    <cfRule type="cellIs" dxfId="8813" priority="12340" operator="between">
      <formula>"ITAÚ MATRIZ"</formula>
      <formula>"ITAÚ MATRIZ"</formula>
    </cfRule>
    <cfRule type="cellIs" dxfId="8812" priority="12339" operator="equal">
      <formula>"ITAÚ MATRIZ"</formula>
    </cfRule>
    <cfRule type="cellIs" dxfId="8811" priority="12338" operator="equal">
      <formula>"ITAÚ"</formula>
    </cfRule>
    <cfRule type="cellIs" dxfId="8810" priority="12337" operator="between">
      <formula>"ITAÚ FILIAL"</formula>
      <formula>"ITAÚ FILIAL"</formula>
    </cfRule>
    <cfRule type="cellIs" dxfId="8809" priority="12336" operator="between">
      <formula>"ITAÚ FILIAL"</formula>
      <formula>"ITAÚ FILIAL"</formula>
    </cfRule>
    <cfRule type="cellIs" dxfId="8808" priority="12335" operator="between">
      <formula>"DAYCOVAL"</formula>
      <formula>"DAYCOVAL"</formula>
    </cfRule>
    <cfRule type="cellIs" dxfId="8807" priority="12334" operator="between">
      <formula>"SAFRA"</formula>
      <formula>"SAFRA"</formula>
    </cfRule>
    <cfRule type="cellIs" dxfId="8806" priority="12333" operator="between">
      <formula>"SAFRA"</formula>
      <formula>"SAFRA"</formula>
    </cfRule>
    <cfRule type="cellIs" dxfId="8805" priority="12332" operator="equal">
      <formula>"ITAÚ"</formula>
    </cfRule>
    <cfRule type="cellIs" dxfId="8804" priority="12331" operator="equal">
      <formula>"ITAÚ"</formula>
    </cfRule>
    <cfRule type="cellIs" dxfId="8803" priority="12330" operator="between">
      <formula>"ITAÚ MATRIZ"</formula>
      <formula>"ITAÚ MATRIZ"</formula>
    </cfRule>
    <cfRule type="cellIs" dxfId="8802" priority="12329" operator="between">
      <formula>"ITAÚ FILIAL"</formula>
      <formula>"ITAÚ FILIAL"</formula>
    </cfRule>
    <cfRule type="cellIs" dxfId="8801" priority="12328" operator="between">
      <formula>"ITAÚ FILIAL"</formula>
      <formula>"ITAÚ FILIAL"</formula>
    </cfRule>
    <cfRule type="cellIs" dxfId="8800" priority="12327" operator="between">
      <formula>"DAYCOVAL"</formula>
      <formula>"DAYCOVAL"</formula>
    </cfRule>
    <cfRule type="cellIs" dxfId="8799" priority="12326" operator="between">
      <formula>"SAFRA"</formula>
      <formula>"SAFRA"</formula>
    </cfRule>
    <cfRule type="cellIs" dxfId="8798" priority="12325" operator="between">
      <formula>"SAFRA"</formula>
      <formula>"SAFRA"</formula>
    </cfRule>
    <cfRule type="cellIs" dxfId="8797" priority="12324" operator="equal">
      <formula>"ITAÚ MATRIZ"</formula>
    </cfRule>
    <cfRule type="cellIs" dxfId="8796" priority="12323" operator="equal">
      <formula>"ITAÚ"</formula>
    </cfRule>
    <cfRule type="cellIs" dxfId="8795" priority="12322" operator="equal">
      <formula>"ITAÚ"</formula>
    </cfRule>
    <cfRule type="cellIs" dxfId="8794" priority="12321" operator="between">
      <formula>"ITAÚ MATRIZ"</formula>
      <formula>"ITAÚ MATRIZ"</formula>
    </cfRule>
    <cfRule type="cellIs" dxfId="8793" priority="12320" operator="between">
      <formula>"ITAÚ FILIAL"</formula>
      <formula>"ITAÚ FILIAL"</formula>
    </cfRule>
    <cfRule type="cellIs" dxfId="8792" priority="12319" operator="between">
      <formula>"ITAÚ FILIAL"</formula>
      <formula>"ITAÚ FILIAL"</formula>
    </cfRule>
    <cfRule type="cellIs" dxfId="8791" priority="12318" operator="between">
      <formula>"DAYCOVAL"</formula>
      <formula>"DAYCOVAL"</formula>
    </cfRule>
    <cfRule type="cellIs" dxfId="8790" priority="12317" operator="between">
      <formula>"SAFRA"</formula>
      <formula>"SAFRA"</formula>
    </cfRule>
    <cfRule type="cellIs" dxfId="8789" priority="12316" operator="between">
      <formula>"SAFRA"</formula>
      <formula>"SAFRA"</formula>
    </cfRule>
    <cfRule type="cellIs" dxfId="8788" priority="12315" operator="equal">
      <formula>"ITAÚ MATRIZ"</formula>
    </cfRule>
    <cfRule type="cellIs" dxfId="8787" priority="12314" operator="equal">
      <formula>"ITAÚ"</formula>
    </cfRule>
    <cfRule type="cellIs" dxfId="8786" priority="12313" operator="equal">
      <formula>"ITAÚ"</formula>
    </cfRule>
    <cfRule type="cellIs" dxfId="8785" priority="12312" operator="between">
      <formula>"ITAÚ MATRIZ"</formula>
      <formula>"ITAÚ MATRIZ"</formula>
    </cfRule>
    <cfRule type="cellIs" dxfId="8784" priority="12311" operator="between">
      <formula>"ITAÚ FILIAL"</formula>
      <formula>"ITAÚ FILIAL"</formula>
    </cfRule>
    <cfRule type="cellIs" dxfId="8783" priority="12310" operator="between">
      <formula>"ITAÚ FILIAL"</formula>
      <formula>"ITAÚ FILIAL"</formula>
    </cfRule>
    <cfRule type="cellIs" dxfId="8782" priority="12309" operator="between">
      <formula>"DAYCOVAL"</formula>
      <formula>"DAYCOVAL"</formula>
    </cfRule>
    <cfRule type="cellIs" dxfId="8781" priority="12308" operator="between">
      <formula>"SAFRA"</formula>
      <formula>"SAFRA"</formula>
    </cfRule>
    <cfRule type="cellIs" dxfId="8780" priority="12307" operator="between">
      <formula>"SAFRA"</formula>
      <formula>"SAFRA"</formula>
    </cfRule>
    <cfRule type="cellIs" dxfId="8779" priority="12306" operator="equal">
      <formula>"ITAÚ MATRIZ"</formula>
    </cfRule>
    <cfRule type="cellIs" dxfId="8778" priority="12305" operator="equal">
      <formula>"ITAÚ"</formula>
    </cfRule>
    <cfRule type="cellIs" dxfId="8777" priority="12304" operator="equal">
      <formula>"ITAÚ"</formula>
    </cfRule>
    <cfRule type="cellIs" dxfId="8776" priority="12303" operator="between">
      <formula>"ITAÚ MATRIZ"</formula>
      <formula>"ITAÚ MATRIZ"</formula>
    </cfRule>
    <cfRule type="cellIs" dxfId="8775" priority="12302" operator="between">
      <formula>"ITAÚ FILIAL"</formula>
      <formula>"ITAÚ FILIAL"</formula>
    </cfRule>
    <cfRule type="cellIs" dxfId="8774" priority="12301" operator="between">
      <formula>"ITAÚ FILIAL"</formula>
      <formula>"ITAÚ FILIAL"</formula>
    </cfRule>
    <cfRule type="cellIs" dxfId="8773" priority="12300" operator="between">
      <formula>"DAYCOVAL"</formula>
      <formula>"DAYCOVAL"</formula>
    </cfRule>
    <cfRule type="cellIs" dxfId="8772" priority="12299" operator="between">
      <formula>"SAFRA"</formula>
      <formula>"SAFRA"</formula>
    </cfRule>
    <cfRule type="cellIs" dxfId="8771" priority="12298" operator="between">
      <formula>"SAFRA"</formula>
      <formula>"SAFRA"</formula>
    </cfRule>
    <cfRule type="cellIs" dxfId="8770" priority="12297" operator="equal">
      <formula>"ITAÚ MATRIZ"</formula>
    </cfRule>
    <cfRule type="cellIs" dxfId="8769" priority="12296" operator="equal">
      <formula>"ITAÚ"</formula>
    </cfRule>
    <cfRule type="cellIs" dxfId="8768" priority="12295" operator="equal">
      <formula>"ITAÚ"</formula>
    </cfRule>
    <cfRule type="cellIs" dxfId="8767" priority="12294" operator="between">
      <formula>"ITAÚ MATRIZ"</formula>
      <formula>"ITAÚ MATRIZ"</formula>
    </cfRule>
    <cfRule type="cellIs" dxfId="8766" priority="12293" operator="between">
      <formula>"ITAÚ FILIAL"</formula>
      <formula>"ITAÚ FILIAL"</formula>
    </cfRule>
    <cfRule type="cellIs" dxfId="8765" priority="12292" operator="between">
      <formula>"ITAÚ FILIAL"</formula>
      <formula>"ITAÚ FILIAL"</formula>
    </cfRule>
    <cfRule type="cellIs" dxfId="8764" priority="12291" operator="between">
      <formula>"DAYCOVAL"</formula>
      <formula>"DAYCOVAL"</formula>
    </cfRule>
    <cfRule type="cellIs" dxfId="8763" priority="12290" operator="between">
      <formula>"SAFRA"</formula>
      <formula>"SAFRA"</formula>
    </cfRule>
    <cfRule type="cellIs" dxfId="8762" priority="12289" operator="between">
      <formula>"SAFRA"</formula>
      <formula>"SAFRA"</formula>
    </cfRule>
    <cfRule type="cellIs" dxfId="8761" priority="12288" operator="equal">
      <formula>"ITAÚ MATRIZ"</formula>
    </cfRule>
    <cfRule type="cellIs" dxfId="8760" priority="12287" operator="equal">
      <formula>"ITAÚ"</formula>
    </cfRule>
    <cfRule type="cellIs" dxfId="8759" priority="12286" operator="between">
      <formula>"ITAÚ MATRIZ"</formula>
      <formula>"ITAÚ MATRIZ"</formula>
    </cfRule>
    <cfRule type="cellIs" dxfId="8758" priority="12285" operator="equal">
      <formula>"ITAÚ MATRIZ"</formula>
    </cfRule>
    <cfRule type="cellIs" dxfId="8757" priority="12284" operator="equal">
      <formula>"ITAÚ"</formula>
    </cfRule>
    <cfRule type="cellIs" dxfId="8756" priority="12283" operator="between">
      <formula>"ITAÚ FILIAL"</formula>
      <formula>"ITAÚ FILIAL"</formula>
    </cfRule>
    <cfRule type="cellIs" dxfId="8755" priority="12282" operator="between">
      <formula>"ITAÚ FILIAL"</formula>
      <formula>"ITAÚ FILIAL"</formula>
    </cfRule>
    <cfRule type="cellIs" dxfId="8754" priority="12281" operator="between">
      <formula>"DAYCOVAL"</formula>
      <formula>"DAYCOVAL"</formula>
    </cfRule>
    <cfRule type="cellIs" dxfId="8753" priority="12280" operator="between">
      <formula>"SAFRA"</formula>
      <formula>"SAFRA"</formula>
    </cfRule>
    <cfRule type="cellIs" dxfId="8752" priority="12279" operator="between">
      <formula>"SAFRA"</formula>
      <formula>"SAFRA"</formula>
    </cfRule>
    <cfRule type="cellIs" dxfId="8751" priority="12278" operator="equal">
      <formula>"ITAÚ"</formula>
    </cfRule>
    <cfRule type="cellIs" dxfId="8750" priority="12277" operator="equal">
      <formula>"ITAÚ"</formula>
    </cfRule>
    <cfRule type="cellIs" dxfId="8749" priority="12276" operator="between">
      <formula>"ITAÚ MATRIZ"</formula>
      <formula>"ITAÚ MATRIZ"</formula>
    </cfRule>
    <cfRule type="cellIs" dxfId="8748" priority="12275" operator="between">
      <formula>"ITAÚ FILIAL"</formula>
      <formula>"ITAÚ FILIAL"</formula>
    </cfRule>
    <cfRule type="cellIs" dxfId="8747" priority="12274" operator="between">
      <formula>"ITAÚ FILIAL"</formula>
      <formula>"ITAÚ FILIAL"</formula>
    </cfRule>
    <cfRule type="cellIs" dxfId="8746" priority="12273" operator="between">
      <formula>"DAYCOVAL"</formula>
      <formula>"DAYCOVAL"</formula>
    </cfRule>
    <cfRule type="cellIs" dxfId="8745" priority="12272" operator="between">
      <formula>"SAFRA"</formula>
      <formula>"SAFRA"</formula>
    </cfRule>
    <cfRule type="cellIs" dxfId="8744" priority="12271" operator="between">
      <formula>"SAFRA"</formula>
      <formula>"SAFRA"</formula>
    </cfRule>
    <cfRule type="cellIs" dxfId="8743" priority="12270" operator="equal">
      <formula>"ITAÚ MATRIZ"</formula>
    </cfRule>
    <cfRule type="cellIs" dxfId="8742" priority="12269" operator="equal">
      <formula>"ITAÚ"</formula>
    </cfRule>
    <cfRule type="cellIs" dxfId="8741" priority="12268" operator="equal">
      <formula>"ITAÚ"</formula>
    </cfRule>
    <cfRule type="cellIs" dxfId="8740" priority="12267" operator="between">
      <formula>"ITAÚ MATRIZ"</formula>
      <formula>"ITAÚ MATRIZ"</formula>
    </cfRule>
    <cfRule type="cellIs" dxfId="8739" priority="12266" operator="between">
      <formula>"ITAÚ FILIAL"</formula>
      <formula>"ITAÚ FILIAL"</formula>
    </cfRule>
    <cfRule type="cellIs" dxfId="8738" priority="12265" operator="between">
      <formula>"ITAÚ FILIAL"</formula>
      <formula>"ITAÚ FILIAL"</formula>
    </cfRule>
    <cfRule type="cellIs" dxfId="8737" priority="12264" operator="between">
      <formula>"DAYCOVAL"</formula>
      <formula>"DAYCOVAL"</formula>
    </cfRule>
    <cfRule type="cellIs" dxfId="8736" priority="12263" operator="between">
      <formula>"SAFRA"</formula>
      <formula>"SAFRA"</formula>
    </cfRule>
    <cfRule type="cellIs" dxfId="8735" priority="12262" operator="between">
      <formula>"SAFRA"</formula>
      <formula>"SAFRA"</formula>
    </cfRule>
    <cfRule type="cellIs" dxfId="8734" priority="12261" operator="equal">
      <formula>"ITAÚ MATRIZ"</formula>
    </cfRule>
    <cfRule type="cellIs" dxfId="8733" priority="12238" operator="equal">
      <formula>"ITAÚ"</formula>
    </cfRule>
    <cfRule type="cellIs" dxfId="8732" priority="12237" operator="between">
      <formula>"ITAÚ MATRIZ"</formula>
      <formula>"ITAÚ MATRIZ"</formula>
    </cfRule>
    <cfRule type="cellIs" dxfId="8731" priority="12236" operator="equal">
      <formula>"ITAÚ MATRIZ"</formula>
    </cfRule>
    <cfRule type="cellIs" dxfId="8730" priority="12235" operator="equal">
      <formula>"ITAÚ"</formula>
    </cfRule>
    <cfRule type="cellIs" dxfId="8729" priority="12234" operator="between">
      <formula>"ITAÚ FILIAL"</formula>
      <formula>"ITAÚ FILIAL"</formula>
    </cfRule>
    <cfRule type="cellIs" dxfId="8728" priority="12233" operator="between">
      <formula>"ITAÚ FILIAL"</formula>
      <formula>"ITAÚ FILIAL"</formula>
    </cfRule>
    <cfRule type="cellIs" dxfId="8727" priority="12232" operator="between">
      <formula>"DAYCOVAL"</formula>
      <formula>"DAYCOVAL"</formula>
    </cfRule>
    <cfRule type="cellIs" dxfId="8726" priority="12231" operator="between">
      <formula>"SAFRA"</formula>
      <formula>"SAFRA"</formula>
    </cfRule>
    <cfRule type="cellIs" dxfId="8725" priority="12230" operator="between">
      <formula>"SAFRA"</formula>
      <formula>"SAFRA"</formula>
    </cfRule>
    <cfRule type="cellIs" dxfId="8724" priority="12229" operator="equal">
      <formula>"ITAÚ"</formula>
    </cfRule>
    <cfRule type="cellIs" dxfId="8723" priority="12228" operator="between">
      <formula>"ITAÚ MATRIZ"</formula>
      <formula>"ITAÚ MATRIZ"</formula>
    </cfRule>
    <cfRule type="cellIs" dxfId="8722" priority="12227" operator="equal">
      <formula>"ITAÚ MATRIZ"</formula>
    </cfRule>
    <cfRule type="cellIs" dxfId="8721" priority="12226" operator="equal">
      <formula>"ITAÚ"</formula>
    </cfRule>
    <cfRule type="cellIs" dxfId="8720" priority="12426" operator="between">
      <formula>"ITAÚ FILIAL"</formula>
      <formula>"ITAÚ FILIAL"</formula>
    </cfRule>
    <cfRule type="cellIs" dxfId="8719" priority="12427" operator="between">
      <formula>"ITAÚ FILIAL"</formula>
      <formula>"ITAÚ FILIAL"</formula>
    </cfRule>
    <cfRule type="cellIs" dxfId="8718" priority="12415" operator="between">
      <formula>"SAFRA"</formula>
      <formula>"SAFRA"</formula>
    </cfRule>
    <cfRule type="cellIs" dxfId="8717" priority="12428" operator="equal">
      <formula>"ITAÚ"</formula>
    </cfRule>
    <cfRule type="cellIs" dxfId="8716" priority="12429" operator="equal">
      <formula>"ITAÚ MATRIZ"</formula>
    </cfRule>
    <cfRule type="cellIs" dxfId="8715" priority="12222" operator="between">
      <formula>"SAFRA"</formula>
      <formula>"SAFRA"</formula>
    </cfRule>
    <cfRule type="cellIs" dxfId="8714" priority="12221" operator="between">
      <formula>"SAFRA"</formula>
      <formula>"SAFRA"</formula>
    </cfRule>
    <cfRule type="cellIs" dxfId="8713" priority="12220" operator="equal">
      <formula>"ITAÚ"</formula>
    </cfRule>
    <cfRule type="cellIs" dxfId="8712" priority="12219" operator="equal">
      <formula>"ITAÚ"</formula>
    </cfRule>
    <cfRule type="cellIs" dxfId="8711" priority="12218" operator="between">
      <formula>"ITAÚ MATRIZ"</formula>
      <formula>"ITAÚ MATRIZ"</formula>
    </cfRule>
    <cfRule type="cellIs" dxfId="8710" priority="12217" operator="between">
      <formula>"ITAÚ FILIAL"</formula>
      <formula>"ITAÚ FILIAL"</formula>
    </cfRule>
    <cfRule type="cellIs" dxfId="8709" priority="12216" operator="between">
      <formula>"ITAÚ FILIAL"</formula>
      <formula>"ITAÚ FILIAL"</formula>
    </cfRule>
    <cfRule type="cellIs" dxfId="8708" priority="12215" operator="between">
      <formula>"DAYCOVAL"</formula>
      <formula>"DAYCOVAL"</formula>
    </cfRule>
    <cfRule type="cellIs" dxfId="8707" priority="12214" operator="between">
      <formula>"SAFRA"</formula>
      <formula>"SAFRA"</formula>
    </cfRule>
    <cfRule type="cellIs" dxfId="8706" priority="12213" operator="between">
      <formula>"SAFRA"</formula>
      <formula>"SAFRA"</formula>
    </cfRule>
    <cfRule type="cellIs" dxfId="8705" priority="12212" operator="equal">
      <formula>"ITAÚ MATRIZ"</formula>
    </cfRule>
    <cfRule type="cellIs" dxfId="8704" priority="12211" operator="equal">
      <formula>"ITAÚ"</formula>
    </cfRule>
    <cfRule type="cellIs" dxfId="8703" priority="12210" operator="between">
      <formula>"ITAÚ MATRIZ"</formula>
      <formula>"ITAÚ MATRIZ"</formula>
    </cfRule>
    <cfRule type="cellIs" dxfId="8702" priority="12209" operator="equal">
      <formula>"ITAÚ MATRIZ"</formula>
    </cfRule>
    <cfRule type="cellIs" dxfId="8701" priority="12208" operator="equal">
      <formula>"ITAÚ"</formula>
    </cfRule>
    <cfRule type="cellIs" dxfId="8700" priority="12207" operator="between">
      <formula>"ITAÚ FILIAL"</formula>
      <formula>"ITAÚ FILIAL"</formula>
    </cfRule>
    <cfRule type="cellIs" dxfId="8699" priority="12206" operator="between">
      <formula>"ITAÚ FILIAL"</formula>
      <formula>"ITAÚ FILIAL"</formula>
    </cfRule>
    <cfRule type="cellIs" dxfId="8698" priority="12205" operator="between">
      <formula>"DAYCOVAL"</formula>
      <formula>"DAYCOVAL"</formula>
    </cfRule>
    <cfRule type="cellIs" dxfId="8697" priority="12204" operator="between">
      <formula>"SAFRA"</formula>
      <formula>"SAFRA"</formula>
    </cfRule>
    <cfRule type="cellIs" dxfId="8696" priority="12424" operator="between">
      <formula>"SAFRA"</formula>
      <formula>"SAFRA"</formula>
    </cfRule>
    <cfRule type="cellIs" dxfId="8695" priority="12202" operator="equal">
      <formula>"ITAÚ"</formula>
    </cfRule>
    <cfRule type="cellIs" dxfId="8694" priority="12201" operator="equal">
      <formula>"ITAÚ"</formula>
    </cfRule>
    <cfRule type="cellIs" dxfId="8693" priority="12200" operator="between">
      <formula>"ITAÚ MATRIZ"</formula>
      <formula>"ITAÚ MATRIZ"</formula>
    </cfRule>
    <cfRule type="cellIs" dxfId="8692" priority="12199" operator="between">
      <formula>"ITAÚ FILIAL"</formula>
      <formula>"ITAÚ FILIAL"</formula>
    </cfRule>
    <cfRule type="cellIs" dxfId="8691" priority="12414" operator="equal">
      <formula>"ITAÚ MATRIZ"</formula>
    </cfRule>
    <cfRule type="cellIs" dxfId="8690" priority="12197" operator="between">
      <formula>"DAYCOVAL"</formula>
      <formula>"DAYCOVAL"</formula>
    </cfRule>
    <cfRule type="cellIs" dxfId="8689" priority="12196" operator="between">
      <formula>"SAFRA"</formula>
      <formula>"SAFRA"</formula>
    </cfRule>
    <cfRule type="cellIs" dxfId="8688" priority="12195" operator="between">
      <formula>"SAFRA"</formula>
      <formula>"SAFRA"</formula>
    </cfRule>
    <cfRule type="cellIs" dxfId="8687" priority="12194" operator="equal">
      <formula>"ITAÚ MATRIZ"</formula>
    </cfRule>
    <cfRule type="cellIs" dxfId="8686" priority="12193" operator="equal">
      <formula>"ITAÚ"</formula>
    </cfRule>
    <cfRule type="cellIs" dxfId="8685" priority="12192" operator="between">
      <formula>"ITAÚ MATRIZ"</formula>
      <formula>"ITAÚ MATRIZ"</formula>
    </cfRule>
    <cfRule type="cellIs" dxfId="8684" priority="12191" operator="equal">
      <formula>"ITAÚ MATRIZ"</formula>
    </cfRule>
    <cfRule type="cellIs" dxfId="8683" priority="12190" operator="equal">
      <formula>"ITAÚ"</formula>
    </cfRule>
    <cfRule type="cellIs" dxfId="8682" priority="12189" operator="between">
      <formula>"ITAÚ FILIAL"</formula>
      <formula>"ITAÚ FILIAL"</formula>
    </cfRule>
    <cfRule type="cellIs" dxfId="8681" priority="12188" operator="between">
      <formula>"ITAÚ FILIAL"</formula>
      <formula>"ITAÚ FILIAL"</formula>
    </cfRule>
    <cfRule type="cellIs" dxfId="8680" priority="12187" operator="between">
      <formula>"DAYCOVAL"</formula>
      <formula>"DAYCOVAL"</formula>
    </cfRule>
    <cfRule type="cellIs" dxfId="8679" priority="12186" operator="between">
      <formula>"SAFRA"</formula>
      <formula>"SAFRA"</formula>
    </cfRule>
    <cfRule type="cellIs" dxfId="8678" priority="12185" operator="between">
      <formula>"SAFRA"</formula>
      <formula>"SAFRA"</formula>
    </cfRule>
    <cfRule type="cellIs" dxfId="8677" priority="12184" operator="equal">
      <formula>"ITAÚ"</formula>
    </cfRule>
    <cfRule type="cellIs" dxfId="8676" priority="12183" operator="equal">
      <formula>"ITAÚ"</formula>
    </cfRule>
    <cfRule type="cellIs" dxfId="8675" priority="12182" operator="between">
      <formula>"ITAÚ MATRIZ"</formula>
      <formula>"ITAÚ MATRIZ"</formula>
    </cfRule>
    <cfRule type="cellIs" dxfId="8674" priority="12181" operator="between">
      <formula>"ITAÚ FILIAL"</formula>
      <formula>"ITAÚ FILIAL"</formula>
    </cfRule>
    <cfRule type="cellIs" dxfId="8673" priority="12180" operator="between">
      <formula>"ITAÚ FILIAL"</formula>
      <formula>"ITAÚ FILIAL"</formula>
    </cfRule>
    <cfRule type="cellIs" dxfId="8672" priority="12179" operator="between">
      <formula>"DAYCOVAL"</formula>
      <formula>"DAYCOVAL"</formula>
    </cfRule>
    <cfRule type="cellIs" dxfId="8671" priority="12178" operator="between">
      <formula>"SAFRA"</formula>
      <formula>"SAFRA"</formula>
    </cfRule>
    <cfRule type="cellIs" dxfId="8670" priority="12177" operator="between">
      <formula>"SAFRA"</formula>
      <formula>"SAFRA"</formula>
    </cfRule>
    <cfRule type="cellIs" dxfId="8669" priority="12176" operator="equal">
      <formula>"ITAÚ MATRIZ"</formula>
    </cfRule>
    <cfRule type="cellIs" dxfId="8668" priority="12175" operator="equal">
      <formula>"ITAÚ"</formula>
    </cfRule>
    <cfRule type="cellIs" dxfId="8667" priority="12174" operator="equal">
      <formula>"ITAÚ"</formula>
    </cfRule>
    <cfRule type="cellIs" dxfId="8666" priority="12173" operator="between">
      <formula>"ITAÚ MATRIZ"</formula>
      <formula>"ITAÚ MATRIZ"</formula>
    </cfRule>
    <cfRule type="cellIs" dxfId="8665" priority="12172" operator="between">
      <formula>"ITAÚ FILIAL"</formula>
      <formula>"ITAÚ FILIAL"</formula>
    </cfRule>
    <cfRule type="cellIs" dxfId="8664" priority="12171" operator="between">
      <formula>"ITAÚ FILIAL"</formula>
      <formula>"ITAÚ FILIAL"</formula>
    </cfRule>
    <cfRule type="cellIs" dxfId="8663" priority="12170" operator="between">
      <formula>"DAYCOVAL"</formula>
      <formula>"DAYCOVAL"</formula>
    </cfRule>
    <cfRule type="cellIs" dxfId="8662" priority="12169" operator="between">
      <formula>"SAFRA"</formula>
      <formula>"SAFRA"</formula>
    </cfRule>
    <cfRule type="cellIs" dxfId="8661" priority="12168" operator="between">
      <formula>"SAFRA"</formula>
      <formula>"SAFRA"</formula>
    </cfRule>
    <cfRule type="cellIs" dxfId="8660" priority="12167" operator="equal">
      <formula>"ITAÚ MATRIZ"</formula>
    </cfRule>
    <cfRule type="cellIs" dxfId="8659" priority="12166" operator="equal">
      <formula>"ITAÚ"</formula>
    </cfRule>
    <cfRule type="cellIs" dxfId="8658" priority="12165" operator="equal">
      <formula>"ITAÚ"</formula>
    </cfRule>
    <cfRule type="cellIs" dxfId="8657" priority="12164" operator="between">
      <formula>"ITAÚ MATRIZ"</formula>
      <formula>"ITAÚ MATRIZ"</formula>
    </cfRule>
    <cfRule type="cellIs" dxfId="8656" priority="12163" operator="between">
      <formula>"ITAÚ FILIAL"</formula>
      <formula>"ITAÚ FILIAL"</formula>
    </cfRule>
    <cfRule type="cellIs" dxfId="8655" priority="12162" operator="between">
      <formula>"ITAÚ FILIAL"</formula>
      <formula>"ITAÚ FILIAL"</formula>
    </cfRule>
    <cfRule type="cellIs" dxfId="8654" priority="12161" operator="between">
      <formula>"DAYCOVAL"</formula>
      <formula>"DAYCOVAL"</formula>
    </cfRule>
    <cfRule type="cellIs" dxfId="8653" priority="12160" operator="between">
      <formula>"SAFRA"</formula>
      <formula>"SAFRA"</formula>
    </cfRule>
    <cfRule type="cellIs" dxfId="8652" priority="12159" operator="between">
      <formula>"SAFRA"</formula>
      <formula>"SAFRA"</formula>
    </cfRule>
    <cfRule type="cellIs" dxfId="8651" priority="12158" operator="equal">
      <formula>"ITAÚ MATRIZ"</formula>
    </cfRule>
    <cfRule type="cellIs" dxfId="8650" priority="12157" operator="equal">
      <formula>"ITAÚ"</formula>
    </cfRule>
    <cfRule type="cellIs" dxfId="8649" priority="12156" operator="equal">
      <formula>"ITAÚ"</formula>
    </cfRule>
    <cfRule type="cellIs" dxfId="8648" priority="12155" operator="between">
      <formula>"ITAÚ MATRIZ"</formula>
      <formula>"ITAÚ MATRIZ"</formula>
    </cfRule>
    <cfRule type="cellIs" dxfId="8647" priority="12154" operator="between">
      <formula>"ITAÚ FILIAL"</formula>
      <formula>"ITAÚ FILIAL"</formula>
    </cfRule>
    <cfRule type="cellIs" dxfId="8646" priority="12153" operator="between">
      <formula>"ITAÚ FILIAL"</formula>
      <formula>"ITAÚ FILIAL"</formula>
    </cfRule>
    <cfRule type="cellIs" dxfId="8645" priority="12152" operator="between">
      <formula>"DAYCOVAL"</formula>
      <formula>"DAYCOVAL"</formula>
    </cfRule>
    <cfRule type="cellIs" dxfId="8644" priority="12151" operator="between">
      <formula>"SAFRA"</formula>
      <formula>"SAFRA"</formula>
    </cfRule>
    <cfRule type="cellIs" dxfId="8643" priority="12150" operator="between">
      <formula>"SAFRA"</formula>
      <formula>"SAFRA"</formula>
    </cfRule>
    <cfRule type="cellIs" dxfId="8642" priority="12149" operator="equal">
      <formula>"ITAÚ MATRIZ"</formula>
    </cfRule>
    <cfRule type="cellIs" dxfId="8641" priority="12148" operator="equal">
      <formula>"ITAÚ"</formula>
    </cfRule>
    <cfRule type="cellIs" dxfId="8640" priority="12147" operator="equal">
      <formula>"ITAÚ"</formula>
    </cfRule>
    <cfRule type="cellIs" dxfId="8639" priority="12146" operator="between">
      <formula>"ITAÚ MATRIZ"</formula>
      <formula>"ITAÚ MATRIZ"</formula>
    </cfRule>
    <cfRule type="cellIs" dxfId="8638" priority="12145" operator="between">
      <formula>"ITAÚ FILIAL"</formula>
      <formula>"ITAÚ FILIAL"</formula>
    </cfRule>
    <cfRule type="cellIs" dxfId="8637" priority="12144" operator="between">
      <formula>"ITAÚ FILIAL"</formula>
      <formula>"ITAÚ FILIAL"</formula>
    </cfRule>
    <cfRule type="cellIs" dxfId="8636" priority="12143" operator="between">
      <formula>"DAYCOVAL"</formula>
      <formula>"DAYCOVAL"</formula>
    </cfRule>
    <cfRule type="cellIs" dxfId="8635" priority="12142" operator="between">
      <formula>"SAFRA"</formula>
      <formula>"SAFRA"</formula>
    </cfRule>
    <cfRule type="cellIs" dxfId="8634" priority="12141" operator="between">
      <formula>"SAFRA"</formula>
      <formula>"SAFRA"</formula>
    </cfRule>
    <cfRule type="cellIs" dxfId="8633" priority="12140" operator="equal">
      <formula>"ITAÚ MATRIZ"</formula>
    </cfRule>
    <cfRule type="cellIs" dxfId="8632" priority="12139" operator="equal">
      <formula>"ITAÚ"</formula>
    </cfRule>
    <cfRule type="cellIs" dxfId="8631" priority="12138" operator="between">
      <formula>"ITAÚ MATRIZ"</formula>
      <formula>"ITAÚ MATRIZ"</formula>
    </cfRule>
    <cfRule type="cellIs" dxfId="8630" priority="12137" operator="equal">
      <formula>"ITAÚ MATRIZ"</formula>
    </cfRule>
    <cfRule type="cellIs" dxfId="8629" priority="12136" operator="equal">
      <formula>"ITAÚ"</formula>
    </cfRule>
    <cfRule type="cellIs" dxfId="8628" priority="12135" operator="between">
      <formula>"ITAÚ FILIAL"</formula>
      <formula>"ITAÚ FILIAL"</formula>
    </cfRule>
    <cfRule type="cellIs" dxfId="8627" priority="12134" operator="between">
      <formula>"ITAÚ FILIAL"</formula>
      <formula>"ITAÚ FILIAL"</formula>
    </cfRule>
    <cfRule type="cellIs" dxfId="8626" priority="12133" operator="between">
      <formula>"DAYCOVAL"</formula>
      <formula>"DAYCOVAL"</formula>
    </cfRule>
    <cfRule type="cellIs" dxfId="8625" priority="12132" operator="between">
      <formula>"SAFRA"</formula>
      <formula>"SAFRA"</formula>
    </cfRule>
    <cfRule type="cellIs" dxfId="8624" priority="12131" operator="between">
      <formula>"SAFRA"</formula>
      <formula>"SAFRA"</formula>
    </cfRule>
    <cfRule type="cellIs" dxfId="8623" priority="12130" operator="equal">
      <formula>"ITAÚ"</formula>
    </cfRule>
    <cfRule type="cellIs" dxfId="8622" priority="12129" operator="equal">
      <formula>"ITAÚ"</formula>
    </cfRule>
    <cfRule type="cellIs" dxfId="8621" priority="12128" operator="between">
      <formula>"ITAÚ MATRIZ"</formula>
      <formula>"ITAÚ MATRIZ"</formula>
    </cfRule>
    <cfRule type="cellIs" dxfId="8620" priority="12127" operator="between">
      <formula>"ITAÚ FILIAL"</formula>
      <formula>"ITAÚ FILIAL"</formula>
    </cfRule>
    <cfRule type="cellIs" dxfId="8619" priority="12126" operator="between">
      <formula>"ITAÚ FILIAL"</formula>
      <formula>"ITAÚ FILIAL"</formula>
    </cfRule>
    <cfRule type="cellIs" dxfId="8618" priority="12125" operator="between">
      <formula>"DAYCOVAL"</formula>
      <formula>"DAYCOVAL"</formula>
    </cfRule>
    <cfRule type="cellIs" dxfId="8617" priority="12124" operator="between">
      <formula>"SAFRA"</formula>
      <formula>"SAFRA"</formula>
    </cfRule>
    <cfRule type="cellIs" dxfId="8616" priority="12123" operator="between">
      <formula>"SAFRA"</formula>
      <formula>"SAFRA"</formula>
    </cfRule>
    <cfRule type="cellIs" dxfId="8615" priority="12122" operator="equal">
      <formula>"ITAÚ MATRIZ"</formula>
    </cfRule>
    <cfRule type="cellIs" dxfId="8614" priority="12121" operator="equal">
      <formula>"ITAÚ"</formula>
    </cfRule>
    <cfRule type="cellIs" dxfId="8613" priority="12120" operator="between">
      <formula>"ITAÚ MATRIZ"</formula>
      <formula>"ITAÚ MATRIZ"</formula>
    </cfRule>
    <cfRule type="cellIs" dxfId="8612" priority="12119" operator="equal">
      <formula>"ITAÚ MATRIZ"</formula>
    </cfRule>
    <cfRule type="cellIs" dxfId="8611" priority="12118" operator="equal">
      <formula>"ITAÚ"</formula>
    </cfRule>
    <cfRule type="cellIs" dxfId="8610" priority="12117" operator="between">
      <formula>"ITAÚ FILIAL"</formula>
      <formula>"ITAÚ FILIAL"</formula>
    </cfRule>
    <cfRule type="cellIs" dxfId="8609" priority="12116" operator="between">
      <formula>"ITAÚ FILIAL"</formula>
      <formula>"ITAÚ FILIAL"</formula>
    </cfRule>
    <cfRule type="cellIs" dxfId="8608" priority="12115" operator="between">
      <formula>"DAYCOVAL"</formula>
      <formula>"DAYCOVAL"</formula>
    </cfRule>
    <cfRule type="cellIs" dxfId="8607" priority="12114" operator="between">
      <formula>"SAFRA"</formula>
      <formula>"SAFRA"</formula>
    </cfRule>
    <cfRule type="cellIs" dxfId="8606" priority="12113" operator="between">
      <formula>"SAFRA"</formula>
      <formula>"SAFRA"</formula>
    </cfRule>
    <cfRule type="cellIs" dxfId="8605" priority="12112" operator="equal">
      <formula>"ITAÚ"</formula>
    </cfRule>
    <cfRule type="cellIs" dxfId="8604" priority="12111" operator="equal">
      <formula>"ITAÚ"</formula>
    </cfRule>
    <cfRule type="cellIs" dxfId="8603" priority="12110" operator="between">
      <formula>"ITAÚ MATRIZ"</formula>
      <formula>"ITAÚ MATRIZ"</formula>
    </cfRule>
    <cfRule type="cellIs" dxfId="8602" priority="12109" operator="between">
      <formula>"ITAÚ FILIAL"</formula>
      <formula>"ITAÚ FILIAL"</formula>
    </cfRule>
    <cfRule type="cellIs" dxfId="8601" priority="12108" operator="between">
      <formula>"ITAÚ FILIAL"</formula>
      <formula>"ITAÚ FILIAL"</formula>
    </cfRule>
    <cfRule type="cellIs" dxfId="8600" priority="12107" operator="between">
      <formula>"DAYCOVAL"</formula>
      <formula>"DAYCOVAL"</formula>
    </cfRule>
    <cfRule type="cellIs" dxfId="8599" priority="12106" operator="between">
      <formula>"SAFRA"</formula>
      <formula>"SAFRA"</formula>
    </cfRule>
    <cfRule type="cellIs" dxfId="8598" priority="12105" operator="between">
      <formula>"SAFRA"</formula>
      <formula>"SAFRA"</formula>
    </cfRule>
    <cfRule type="cellIs" dxfId="8597" priority="12104" operator="equal">
      <formula>"ITAÚ MATRIZ"</formula>
    </cfRule>
    <cfRule type="cellIs" dxfId="8596" priority="12103" operator="equal">
      <formula>"ITAÚ"</formula>
    </cfRule>
    <cfRule type="cellIs" dxfId="8595" priority="12102" operator="equal">
      <formula>"ITAÚ"</formula>
    </cfRule>
    <cfRule type="cellIs" dxfId="8594" priority="12101" operator="between">
      <formula>"ITAÚ MATRIZ"</formula>
      <formula>"ITAÚ MATRIZ"</formula>
    </cfRule>
    <cfRule type="cellIs" dxfId="8593" priority="12100" operator="between">
      <formula>"ITAÚ FILIAL"</formula>
      <formula>"ITAÚ FILIAL"</formula>
    </cfRule>
    <cfRule type="cellIs" dxfId="8592" priority="12099" operator="between">
      <formula>"ITAÚ FILIAL"</formula>
      <formula>"ITAÚ FILIAL"</formula>
    </cfRule>
    <cfRule type="cellIs" dxfId="8591" priority="12098" operator="between">
      <formula>"DAYCOVAL"</formula>
      <formula>"DAYCOVAL"</formula>
    </cfRule>
    <cfRule type="cellIs" dxfId="8590" priority="12097" operator="between">
      <formula>"SAFRA"</formula>
      <formula>"SAFRA"</formula>
    </cfRule>
    <cfRule type="cellIs" dxfId="8589" priority="12096" operator="between">
      <formula>"SAFRA"</formula>
      <formula>"SAFRA"</formula>
    </cfRule>
    <cfRule type="cellIs" dxfId="8588" priority="12095" operator="equal">
      <formula>"ITAÚ MATRIZ"</formula>
    </cfRule>
    <cfRule type="cellIs" dxfId="8587" priority="12094" operator="equal">
      <formula>"ITAÚ"</formula>
    </cfRule>
    <cfRule type="cellIs" dxfId="8586" priority="12093" operator="equal">
      <formula>"ITAÚ"</formula>
    </cfRule>
    <cfRule type="cellIs" dxfId="8585" priority="12092" operator="between">
      <formula>"ITAÚ MATRIZ"</formula>
      <formula>"ITAÚ MATRIZ"</formula>
    </cfRule>
    <cfRule type="cellIs" dxfId="8584" priority="12091" operator="between">
      <formula>"ITAÚ FILIAL"</formula>
      <formula>"ITAÚ FILIAL"</formula>
    </cfRule>
    <cfRule type="cellIs" dxfId="8583" priority="12090" operator="between">
      <formula>"ITAÚ FILIAL"</formula>
      <formula>"ITAÚ FILIAL"</formula>
    </cfRule>
    <cfRule type="cellIs" dxfId="8582" priority="12089" operator="between">
      <formula>"DAYCOVAL"</formula>
      <formula>"DAYCOVAL"</formula>
    </cfRule>
    <cfRule type="cellIs" dxfId="8581" priority="12088" operator="between">
      <formula>"SAFRA"</formula>
      <formula>"SAFRA"</formula>
    </cfRule>
    <cfRule type="cellIs" dxfId="8580" priority="12087" operator="between">
      <formula>"SAFRA"</formula>
      <formula>"SAFRA"</formula>
    </cfRule>
    <cfRule type="cellIs" dxfId="8579" priority="12086" operator="equal">
      <formula>"ITAÚ MATRIZ"</formula>
    </cfRule>
    <cfRule type="cellIs" dxfId="8578" priority="12085" operator="equal">
      <formula>"ITAÚ"</formula>
    </cfRule>
    <cfRule type="cellIs" dxfId="8577" priority="12084" operator="equal">
      <formula>"ITAÚ"</formula>
    </cfRule>
    <cfRule type="cellIs" dxfId="8576" priority="12083" operator="between">
      <formula>"ITAÚ MATRIZ"</formula>
      <formula>"ITAÚ MATRIZ"</formula>
    </cfRule>
    <cfRule type="cellIs" dxfId="8575" priority="12082" operator="between">
      <formula>"ITAÚ FILIAL"</formula>
      <formula>"ITAÚ FILIAL"</formula>
    </cfRule>
    <cfRule type="cellIs" dxfId="8574" priority="12081" operator="between">
      <formula>"ITAÚ FILIAL"</formula>
      <formula>"ITAÚ FILIAL"</formula>
    </cfRule>
    <cfRule type="cellIs" dxfId="8573" priority="12080" operator="between">
      <formula>"DAYCOVAL"</formula>
      <formula>"DAYCOVAL"</formula>
    </cfRule>
    <cfRule type="cellIs" dxfId="8572" priority="12079" operator="between">
      <formula>"SAFRA"</formula>
      <formula>"SAFRA"</formula>
    </cfRule>
    <cfRule type="cellIs" dxfId="8571" priority="12078" operator="between">
      <formula>"SAFRA"</formula>
      <formula>"SAFRA"</formula>
    </cfRule>
    <cfRule type="cellIs" dxfId="8570" priority="12077" operator="equal">
      <formula>"ITAÚ MATRIZ"</formula>
    </cfRule>
    <cfRule type="cellIs" dxfId="8569" priority="12076" operator="equal">
      <formula>"ITAÚ"</formula>
    </cfRule>
    <cfRule type="cellIs" dxfId="8568" priority="12075" operator="equal">
      <formula>"ITAÚ"</formula>
    </cfRule>
    <cfRule type="cellIs" dxfId="8567" priority="12074" operator="between">
      <formula>"ITAÚ MATRIZ"</formula>
      <formula>"ITAÚ MATRIZ"</formula>
    </cfRule>
    <cfRule type="cellIs" dxfId="8566" priority="12073" operator="between">
      <formula>"ITAÚ FILIAL"</formula>
      <formula>"ITAÚ FILIAL"</formula>
    </cfRule>
    <cfRule type="cellIs" dxfId="8565" priority="12072" operator="between">
      <formula>"ITAÚ FILIAL"</formula>
      <formula>"ITAÚ FILIAL"</formula>
    </cfRule>
    <cfRule type="cellIs" dxfId="8564" priority="12071" operator="between">
      <formula>"DAYCOVAL"</formula>
      <formula>"DAYCOVAL"</formula>
    </cfRule>
    <cfRule type="cellIs" dxfId="8563" priority="12070" operator="between">
      <formula>"SAFRA"</formula>
      <formula>"SAFRA"</formula>
    </cfRule>
    <cfRule type="cellIs" dxfId="8562" priority="12069" operator="between">
      <formula>"SAFRA"</formula>
      <formula>"SAFRA"</formula>
    </cfRule>
    <cfRule type="cellIs" dxfId="8561" priority="12068" operator="equal">
      <formula>"ITAÚ MATRIZ"</formula>
    </cfRule>
    <cfRule type="cellIs" dxfId="8560" priority="12067" operator="equal">
      <formula>"ITAÚ"</formula>
    </cfRule>
    <cfRule type="cellIs" dxfId="8559" priority="12066" operator="between">
      <formula>"ITAÚ MATRIZ"</formula>
      <formula>"ITAÚ MATRIZ"</formula>
    </cfRule>
    <cfRule type="cellIs" dxfId="8558" priority="12065" operator="equal">
      <formula>"ITAÚ MATRIZ"</formula>
    </cfRule>
    <cfRule type="cellIs" dxfId="8557" priority="12064" operator="equal">
      <formula>"ITAÚ"</formula>
    </cfRule>
    <cfRule type="cellIs" dxfId="8556" priority="12063" operator="between">
      <formula>"ITAÚ FILIAL"</formula>
      <formula>"ITAÚ FILIAL"</formula>
    </cfRule>
    <cfRule type="cellIs" dxfId="8555" priority="12062" operator="between">
      <formula>"ITAÚ FILIAL"</formula>
      <formula>"ITAÚ FILIAL"</formula>
    </cfRule>
    <cfRule type="cellIs" dxfId="8554" priority="12061" operator="between">
      <formula>"DAYCOVAL"</formula>
      <formula>"DAYCOVAL"</formula>
    </cfRule>
    <cfRule type="cellIs" dxfId="8553" priority="12060" operator="between">
      <formula>"SAFRA"</formula>
      <formula>"SAFRA"</formula>
    </cfRule>
    <cfRule type="cellIs" dxfId="8552" priority="12059" operator="between">
      <formula>"SAFRA"</formula>
      <formula>"SAFRA"</formula>
    </cfRule>
    <cfRule type="cellIs" dxfId="8551" priority="12058" operator="equal">
      <formula>"ITAÚ"</formula>
    </cfRule>
    <cfRule type="cellIs" dxfId="8550" priority="12057" operator="equal">
      <formula>"ITAÚ"</formula>
    </cfRule>
    <cfRule type="cellIs" dxfId="8549" priority="12056" operator="between">
      <formula>"ITAÚ MATRIZ"</formula>
      <formula>"ITAÚ MATRIZ"</formula>
    </cfRule>
    <cfRule type="cellIs" dxfId="8548" priority="12055" operator="between">
      <formula>"ITAÚ FILIAL"</formula>
      <formula>"ITAÚ FILIAL"</formula>
    </cfRule>
    <cfRule type="cellIs" dxfId="8547" priority="12054" operator="between">
      <formula>"ITAÚ FILIAL"</formula>
      <formula>"ITAÚ FILIAL"</formula>
    </cfRule>
    <cfRule type="cellIs" dxfId="8546" priority="12053" operator="between">
      <formula>"DAYCOVAL"</formula>
      <formula>"DAYCOVAL"</formula>
    </cfRule>
    <cfRule type="cellIs" dxfId="8545" priority="12052" operator="between">
      <formula>"SAFRA"</formula>
      <formula>"SAFRA"</formula>
    </cfRule>
    <cfRule type="cellIs" dxfId="8544" priority="12051" operator="between">
      <formula>"SAFRA"</formula>
      <formula>"SAFRA"</formula>
    </cfRule>
    <cfRule type="cellIs" dxfId="8543" priority="12050" operator="equal">
      <formula>"ITAÚ MATRIZ"</formula>
    </cfRule>
    <cfRule type="cellIs" dxfId="8542" priority="12224" operator="between">
      <formula>"ITAÚ FILIAL"</formula>
      <formula>"ITAÚ FILIAL"</formula>
    </cfRule>
    <cfRule type="cellIs" dxfId="8541" priority="12225" operator="between">
      <formula>"ITAÚ FILIAL"</formula>
      <formula>"ITAÚ FILIAL"</formula>
    </cfRule>
    <cfRule type="cellIs" dxfId="8540" priority="12223" operator="between">
      <formula>"DAYCOVAL"</formula>
      <formula>"DAYCOVAL"</formula>
    </cfRule>
    <cfRule type="cellIs" dxfId="8539" priority="12423" operator="between">
      <formula>"SAFRA"</formula>
      <formula>"SAFRA"</formula>
    </cfRule>
    <cfRule type="cellIs" dxfId="8538" priority="12422" operator="equal">
      <formula>"ITAÚ"</formula>
    </cfRule>
    <cfRule type="cellIs" dxfId="8537" priority="12458" operator="equal">
      <formula>"ITAÚ"</formula>
    </cfRule>
    <cfRule type="cellIs" dxfId="8536" priority="12457" operator="between">
      <formula>"ITAÚ MATRIZ"</formula>
      <formula>"ITAÚ MATRIZ"</formula>
    </cfRule>
    <cfRule type="cellIs" dxfId="8535" priority="12456" operator="equal">
      <formula>"ITAÚ MATRIZ"</formula>
    </cfRule>
    <cfRule type="cellIs" dxfId="8534" priority="12455" operator="equal">
      <formula>"ITAÚ"</formula>
    </cfRule>
    <cfRule type="cellIs" dxfId="8533" priority="12430" operator="between">
      <formula>"ITAÚ MATRIZ"</formula>
      <formula>"ITAÚ MATRIZ"</formula>
    </cfRule>
    <cfRule type="cellIs" dxfId="8532" priority="12431" operator="equal">
      <formula>"ITAÚ"</formula>
    </cfRule>
    <cfRule type="cellIs" dxfId="8531" priority="12432" operator="equal">
      <formula>"ITAÚ MATRIZ"</formula>
    </cfRule>
    <cfRule type="cellIs" dxfId="8530" priority="12433" operator="between">
      <formula>"SAFRA"</formula>
      <formula>"SAFRA"</formula>
    </cfRule>
    <cfRule type="cellIs" dxfId="8529" priority="12434" operator="between">
      <formula>"SAFRA"</formula>
      <formula>"SAFRA"</formula>
    </cfRule>
    <cfRule type="cellIs" dxfId="8528" priority="12435" operator="between">
      <formula>"DAYCOVAL"</formula>
      <formula>"DAYCOVAL"</formula>
    </cfRule>
    <cfRule type="cellIs" dxfId="8527" priority="12436" operator="between">
      <formula>"ITAÚ FILIAL"</formula>
      <formula>"ITAÚ FILIAL"</formula>
    </cfRule>
    <cfRule type="cellIs" dxfId="8526" priority="12437" operator="between">
      <formula>"ITAÚ FILIAL"</formula>
      <formula>"ITAÚ FILIAL"</formula>
    </cfRule>
    <cfRule type="cellIs" dxfId="8525" priority="12438" operator="between">
      <formula>"ITAÚ MATRIZ"</formula>
      <formula>"ITAÚ MATRIZ"</formula>
    </cfRule>
    <cfRule type="cellIs" dxfId="8524" priority="12439" operator="equal">
      <formula>"ITAÚ"</formula>
    </cfRule>
    <cfRule type="cellIs" dxfId="8523" priority="12440" operator="equal">
      <formula>"ITAÚ"</formula>
    </cfRule>
    <cfRule type="cellIs" dxfId="8522" priority="12441" operator="between">
      <formula>"SAFRA"</formula>
      <formula>"SAFRA"</formula>
    </cfRule>
    <cfRule type="cellIs" dxfId="8521" priority="12442" operator="between">
      <formula>"SAFRA"</formula>
      <formula>"SAFRA"</formula>
    </cfRule>
    <cfRule type="cellIs" dxfId="8520" priority="12443" operator="between">
      <formula>"DAYCOVAL"</formula>
      <formula>"DAYCOVAL"</formula>
    </cfRule>
    <cfRule type="cellIs" dxfId="8519" priority="12444" operator="between">
      <formula>"ITAÚ FILIAL"</formula>
      <formula>"ITAÚ FILIAL"</formula>
    </cfRule>
    <cfRule type="cellIs" dxfId="8518" priority="12445" operator="between">
      <formula>"ITAÚ FILIAL"</formula>
      <formula>"ITAÚ FILIAL"</formula>
    </cfRule>
    <cfRule type="cellIs" dxfId="8517" priority="12446" operator="equal">
      <formula>"ITAÚ"</formula>
    </cfRule>
    <cfRule type="cellIs" dxfId="8516" priority="12447" operator="equal">
      <formula>"ITAÚ MATRIZ"</formula>
    </cfRule>
    <cfRule type="cellIs" dxfId="8515" priority="12416" operator="between">
      <formula>"SAFRA"</formula>
      <formula>"SAFRA"</formula>
    </cfRule>
    <cfRule type="cellIs" dxfId="8514" priority="12417" operator="between">
      <formula>"DAYCOVAL"</formula>
      <formula>"DAYCOVAL"</formula>
    </cfRule>
    <cfRule type="cellIs" dxfId="8513" priority="12418" operator="between">
      <formula>"ITAÚ FILIAL"</formula>
      <formula>"ITAÚ FILIAL"</formula>
    </cfRule>
    <cfRule type="cellIs" dxfId="8512" priority="12419" operator="between">
      <formula>"ITAÚ FILIAL"</formula>
      <formula>"ITAÚ FILIAL"</formula>
    </cfRule>
    <cfRule type="cellIs" dxfId="8511" priority="12420" operator="between">
      <formula>"ITAÚ MATRIZ"</formula>
      <formula>"ITAÚ MATRIZ"</formula>
    </cfRule>
    <cfRule type="cellIs" dxfId="8510" priority="12421" operator="equal">
      <formula>"ITAÚ"</formula>
    </cfRule>
    <cfRule type="cellIs" dxfId="8509" priority="12448" operator="between">
      <formula>"ITAÚ MATRIZ"</formula>
      <formula>"ITAÚ MATRIZ"</formula>
    </cfRule>
    <cfRule type="cellIs" dxfId="8508" priority="12449" operator="equal">
      <formula>"ITAÚ"</formula>
    </cfRule>
    <cfRule type="cellIs" dxfId="8507" priority="12450" operator="between">
      <formula>"SAFRA"</formula>
      <formula>"SAFRA"</formula>
    </cfRule>
    <cfRule type="cellIs" dxfId="8506" priority="12451" operator="between">
      <formula>"SAFRA"</formula>
      <formula>"SAFRA"</formula>
    </cfRule>
    <cfRule type="cellIs" dxfId="8505" priority="12452" operator="between">
      <formula>"DAYCOVAL"</formula>
      <formula>"DAYCOVAL"</formula>
    </cfRule>
    <cfRule type="cellIs" dxfId="8504" priority="12453" operator="between">
      <formula>"ITAÚ FILIAL"</formula>
      <formula>"ITAÚ FILIAL"</formula>
    </cfRule>
    <cfRule type="cellIs" dxfId="8503" priority="12198" operator="between">
      <formula>"ITAÚ FILIAL"</formula>
      <formula>"ITAÚ FILIAL"</formula>
    </cfRule>
  </conditionalFormatting>
  <conditionalFormatting sqref="I5:I22">
    <cfRule type="cellIs" dxfId="8502" priority="12021" operator="between">
      <formula>"SAFRA"</formula>
      <formula>"SAFRA"</formula>
    </cfRule>
    <cfRule type="cellIs" dxfId="8501" priority="12022" operator="between">
      <formula>"SAFRA"</formula>
      <formula>"SAFRA"</formula>
    </cfRule>
    <cfRule type="cellIs" dxfId="8500" priority="12023" operator="between">
      <formula>"DAYCOVAL"</formula>
      <formula>"DAYCOVAL"</formula>
    </cfRule>
    <cfRule type="cellIs" dxfId="8499" priority="12024" operator="between">
      <formula>"ITAÚ FILIAL"</formula>
      <formula>"ITAÚ FILIAL"</formula>
    </cfRule>
    <cfRule type="cellIs" dxfId="8498" priority="12025" operator="between">
      <formula>"ITAÚ FILIAL"</formula>
      <formula>"ITAÚ FILIAL"</formula>
    </cfRule>
    <cfRule type="cellIs" dxfId="8497" priority="12026" operator="equal">
      <formula>"ITAÚ"</formula>
    </cfRule>
    <cfRule type="cellIs" dxfId="8496" priority="12027" operator="equal">
      <formula>"ITAÚ MATRIZ"</formula>
    </cfRule>
    <cfRule type="cellIs" dxfId="8495" priority="12028" operator="between">
      <formula>"ITAÚ MATRIZ"</formula>
      <formula>"ITAÚ MATRIZ"</formula>
    </cfRule>
    <cfRule type="cellIs" dxfId="8494" priority="12029" operator="equal">
      <formula>"ITAÚ"</formula>
    </cfRule>
  </conditionalFormatting>
  <conditionalFormatting sqref="I5:I489">
    <cfRule type="cellIs" dxfId="8493" priority="2" operator="equal">
      <formula>"BTG"</formula>
    </cfRule>
    <cfRule type="cellIs" dxfId="8492" priority="120" operator="equal">
      <formula>"CARTÃO DE CRÉDITO"</formula>
    </cfRule>
    <cfRule type="cellIs" dxfId="8491" priority="3" operator="equal">
      <formula>"BRADESCO - MONTTEC"</formula>
    </cfRule>
    <cfRule type="cellIs" dxfId="8490" priority="4" operator="equal">
      <formula>"SANTANDER - MONTTEC"</formula>
    </cfRule>
    <cfRule type="cellIs" dxfId="8489" priority="5" operator="equal">
      <formula>"SANTANDER - MONTTEC"</formula>
    </cfRule>
    <cfRule type="cellIs" dxfId="8488" priority="6" operator="equal">
      <formula>"BRADESCO MONTTEC"</formula>
    </cfRule>
    <cfRule type="cellIs" dxfId="8487" priority="7" operator="equal">
      <formula>"BRADESCO MONTTEC"</formula>
    </cfRule>
    <cfRule type="cellIs" dxfId="8486" priority="8" operator="equal">
      <formula>"BRADESCO (MONTTEC)"</formula>
    </cfRule>
    <cfRule type="cellIs" dxfId="8485" priority="9" operator="equal">
      <formula>"BRADESCO - MONTTEC"</formula>
    </cfRule>
    <cfRule type="cellIs" dxfId="8484" priority="10" operator="equal">
      <formula>"BRADESCO - MONTTEC"</formula>
    </cfRule>
    <cfRule type="cellIs" dxfId="8483" priority="11" operator="equal">
      <formula>"BRADESCO - (MONTTEC)"</formula>
    </cfRule>
    <cfRule type="cellIs" dxfId="8482" priority="122" operator="equal">
      <formula>"SANTANDER"</formula>
    </cfRule>
    <cfRule type="cellIs" dxfId="8481" priority="121" operator="between">
      <formula>"ITAÚ MATRIZ"</formula>
      <formula>"ITAÚ MATRIZ"</formula>
    </cfRule>
  </conditionalFormatting>
  <conditionalFormatting sqref="I5:I501">
    <cfRule type="cellIs" dxfId="8480" priority="1436" operator="equal">
      <formula>"DINHEIRO"</formula>
    </cfRule>
    <cfRule type="cellIs" dxfId="8479" priority="1437" operator="equal">
      <formula>"BRADESCO"</formula>
    </cfRule>
  </conditionalFormatting>
  <conditionalFormatting sqref="I21:I22">
    <cfRule type="cellIs" dxfId="8478" priority="11941" operator="between">
      <formula>"SAFRA"</formula>
      <formula>"SAFRA"</formula>
    </cfRule>
    <cfRule type="cellIs" dxfId="8477" priority="12010" operator="equal">
      <formula>"ITAÚ"</formula>
    </cfRule>
    <cfRule type="cellIs" dxfId="8476" priority="11936" operator="between">
      <formula>"ITAÚ FILIAL"</formula>
      <formula>"ITAÚ FILIAL"</formula>
    </cfRule>
    <cfRule type="cellIs" dxfId="8475" priority="11934" operator="between">
      <formula>"DAYCOVAL"</formula>
      <formula>"DAYCOVAL"</formula>
    </cfRule>
    <cfRule type="cellIs" dxfId="8474" priority="12019" operator="between">
      <formula>"ITAÚ MATRIZ"</formula>
      <formula>"ITAÚ MATRIZ"</formula>
    </cfRule>
    <cfRule type="cellIs" dxfId="8473" priority="12018" operator="equal">
      <formula>"ITAÚ MATRIZ"</formula>
    </cfRule>
    <cfRule type="cellIs" dxfId="8472" priority="12017" operator="equal">
      <formula>"ITAÚ"</formula>
    </cfRule>
    <cfRule type="cellIs" dxfId="8471" priority="12016" operator="between">
      <formula>"ITAÚ FILIAL"</formula>
      <formula>"ITAÚ FILIAL"</formula>
    </cfRule>
    <cfRule type="cellIs" dxfId="8470" priority="12015" operator="between">
      <formula>"ITAÚ FILIAL"</formula>
      <formula>"ITAÚ FILIAL"</formula>
    </cfRule>
    <cfRule type="cellIs" dxfId="8469" priority="12014" operator="between">
      <formula>"DAYCOVAL"</formula>
      <formula>"DAYCOVAL"</formula>
    </cfRule>
    <cfRule type="cellIs" dxfId="8468" priority="12013" operator="between">
      <formula>"SAFRA"</formula>
      <formula>"SAFRA"</formula>
    </cfRule>
    <cfRule type="cellIs" dxfId="8467" priority="12012" operator="between">
      <formula>"SAFRA"</formula>
      <formula>"SAFRA"</formula>
    </cfRule>
    <cfRule type="cellIs" dxfId="8466" priority="12011" operator="equal">
      <formula>"ITAÚ"</formula>
    </cfRule>
    <cfRule type="cellIs" dxfId="8465" priority="11841" operator="equal">
      <formula>"ITAÚ MATRIZ"</formula>
    </cfRule>
    <cfRule type="cellIs" dxfId="8464" priority="11842" operator="between">
      <formula>"SAFRA"</formula>
      <formula>"SAFRA"</formula>
    </cfRule>
    <cfRule type="cellIs" dxfId="8463" priority="11843" operator="between">
      <formula>"SAFRA"</formula>
      <formula>"SAFRA"</formula>
    </cfRule>
    <cfRule type="cellIs" dxfId="8462" priority="11844" operator="between">
      <formula>"DAYCOVAL"</formula>
      <formula>"DAYCOVAL"</formula>
    </cfRule>
    <cfRule type="cellIs" dxfId="8461" priority="11845" operator="between">
      <formula>"ITAÚ FILIAL"</formula>
      <formula>"ITAÚ FILIAL"</formula>
    </cfRule>
    <cfRule type="cellIs" dxfId="8460" priority="11846" operator="between">
      <formula>"ITAÚ FILIAL"</formula>
      <formula>"ITAÚ FILIAL"</formula>
    </cfRule>
    <cfRule type="cellIs" dxfId="8459" priority="11847" operator="between">
      <formula>"ITAÚ MATRIZ"</formula>
      <formula>"ITAÚ MATRIZ"</formula>
    </cfRule>
    <cfRule type="cellIs" dxfId="8458" priority="11848" operator="equal">
      <formula>"ITAÚ"</formula>
    </cfRule>
    <cfRule type="cellIs" dxfId="8457" priority="11849" operator="equal">
      <formula>"ITAÚ"</formula>
    </cfRule>
    <cfRule type="cellIs" dxfId="8456" priority="11850" operator="between">
      <formula>"SAFRA"</formula>
      <formula>"SAFRA"</formula>
    </cfRule>
    <cfRule type="cellIs" dxfId="8455" priority="11851" operator="between">
      <formula>"SAFRA"</formula>
      <formula>"SAFRA"</formula>
    </cfRule>
    <cfRule type="cellIs" dxfId="8454" priority="11852" operator="between">
      <formula>"DAYCOVAL"</formula>
      <formula>"DAYCOVAL"</formula>
    </cfRule>
    <cfRule type="cellIs" dxfId="8453" priority="11853" operator="between">
      <formula>"ITAÚ FILIAL"</formula>
      <formula>"ITAÚ FILIAL"</formula>
    </cfRule>
    <cfRule type="cellIs" dxfId="8452" priority="11854" operator="between">
      <formula>"ITAÚ FILIAL"</formula>
      <formula>"ITAÚ FILIAL"</formula>
    </cfRule>
    <cfRule type="cellIs" dxfId="8451" priority="11855" operator="equal">
      <formula>"ITAÚ"</formula>
    </cfRule>
    <cfRule type="cellIs" dxfId="8450" priority="11856" operator="equal">
      <formula>"ITAÚ MATRIZ"</formula>
    </cfRule>
    <cfRule type="cellIs" dxfId="8449" priority="11857" operator="between">
      <formula>"ITAÚ MATRIZ"</formula>
      <formula>"ITAÚ MATRIZ"</formula>
    </cfRule>
    <cfRule type="cellIs" dxfId="8448" priority="11858" operator="equal">
      <formula>"ITAÚ"</formula>
    </cfRule>
    <cfRule type="cellIs" dxfId="8447" priority="11859" operator="equal">
      <formula>"ITAÚ MATRIZ"</formula>
    </cfRule>
    <cfRule type="cellIs" dxfId="8446" priority="11860" operator="between">
      <formula>"SAFRA"</formula>
      <formula>"SAFRA"</formula>
    </cfRule>
    <cfRule type="cellIs" dxfId="8445" priority="11861" operator="between">
      <formula>"SAFRA"</formula>
      <formula>"SAFRA"</formula>
    </cfRule>
    <cfRule type="cellIs" dxfId="8444" priority="11862" operator="between">
      <formula>"DAYCOVAL"</formula>
      <formula>"DAYCOVAL"</formula>
    </cfRule>
    <cfRule type="cellIs" dxfId="8443" priority="11863" operator="between">
      <formula>"ITAÚ FILIAL"</formula>
      <formula>"ITAÚ FILIAL"</formula>
    </cfRule>
    <cfRule type="cellIs" dxfId="8442" priority="11864" operator="between">
      <formula>"ITAÚ FILIAL"</formula>
      <formula>"ITAÚ FILIAL"</formula>
    </cfRule>
    <cfRule type="cellIs" dxfId="8441" priority="11865" operator="between">
      <formula>"ITAÚ MATRIZ"</formula>
      <formula>"ITAÚ MATRIZ"</formula>
    </cfRule>
    <cfRule type="cellIs" dxfId="8440" priority="11866" operator="equal">
      <formula>"ITAÚ"</formula>
    </cfRule>
    <cfRule type="cellIs" dxfId="8439" priority="11867" operator="equal">
      <formula>"ITAÚ"</formula>
    </cfRule>
    <cfRule type="cellIs" dxfId="8438" priority="11868" operator="equal">
      <formula>"ITAÚ MATRIZ"</formula>
    </cfRule>
    <cfRule type="cellIs" dxfId="8437" priority="11869" operator="between">
      <formula>"SAFRA"</formula>
      <formula>"SAFRA"</formula>
    </cfRule>
    <cfRule type="cellIs" dxfId="8436" priority="11870" operator="between">
      <formula>"SAFRA"</formula>
      <formula>"SAFRA"</formula>
    </cfRule>
    <cfRule type="cellIs" dxfId="8435" priority="11871" operator="between">
      <formula>"DAYCOVAL"</formula>
      <formula>"DAYCOVAL"</formula>
    </cfRule>
    <cfRule type="cellIs" dxfId="8434" priority="11872" operator="between">
      <formula>"ITAÚ FILIAL"</formula>
      <formula>"ITAÚ FILIAL"</formula>
    </cfRule>
    <cfRule type="cellIs" dxfId="8433" priority="11873" operator="between">
      <formula>"ITAÚ FILIAL"</formula>
      <formula>"ITAÚ FILIAL"</formula>
    </cfRule>
    <cfRule type="cellIs" dxfId="8432" priority="11874" operator="between">
      <formula>"ITAÚ MATRIZ"</formula>
      <formula>"ITAÚ MATRIZ"</formula>
    </cfRule>
    <cfRule type="cellIs" dxfId="8431" priority="11875" operator="equal">
      <formula>"ITAÚ"</formula>
    </cfRule>
    <cfRule type="cellIs" dxfId="8430" priority="11876" operator="equal">
      <formula>"ITAÚ"</formula>
    </cfRule>
    <cfRule type="cellIs" dxfId="8429" priority="11877" operator="equal">
      <formula>"ITAÚ MATRIZ"</formula>
    </cfRule>
    <cfRule type="cellIs" dxfId="8428" priority="11878" operator="between">
      <formula>"SAFRA"</formula>
      <formula>"SAFRA"</formula>
    </cfRule>
    <cfRule type="cellIs" dxfId="8427" priority="11879" operator="between">
      <formula>"SAFRA"</formula>
      <formula>"SAFRA"</formula>
    </cfRule>
    <cfRule type="cellIs" dxfId="8426" priority="11880" operator="between">
      <formula>"DAYCOVAL"</formula>
      <formula>"DAYCOVAL"</formula>
    </cfRule>
    <cfRule type="cellIs" dxfId="8425" priority="11881" operator="between">
      <formula>"ITAÚ FILIAL"</formula>
      <formula>"ITAÚ FILIAL"</formula>
    </cfRule>
    <cfRule type="cellIs" dxfId="8424" priority="11882" operator="between">
      <formula>"ITAÚ FILIAL"</formula>
      <formula>"ITAÚ FILIAL"</formula>
    </cfRule>
    <cfRule type="cellIs" dxfId="8423" priority="11883" operator="between">
      <formula>"ITAÚ MATRIZ"</formula>
      <formula>"ITAÚ MATRIZ"</formula>
    </cfRule>
    <cfRule type="cellIs" dxfId="8422" priority="11884" operator="equal">
      <formula>"ITAÚ"</formula>
    </cfRule>
    <cfRule type="cellIs" dxfId="8421" priority="11885" operator="equal">
      <formula>"ITAÚ"</formula>
    </cfRule>
    <cfRule type="cellIs" dxfId="8420" priority="11886" operator="equal">
      <formula>"ITAÚ MATRIZ"</formula>
    </cfRule>
    <cfRule type="cellIs" dxfId="8419" priority="11887" operator="between">
      <formula>"SAFRA"</formula>
      <formula>"SAFRA"</formula>
    </cfRule>
    <cfRule type="cellIs" dxfId="8418" priority="11888" operator="between">
      <formula>"SAFRA"</formula>
      <formula>"SAFRA"</formula>
    </cfRule>
    <cfRule type="cellIs" dxfId="8417" priority="11889" operator="between">
      <formula>"DAYCOVAL"</formula>
      <formula>"DAYCOVAL"</formula>
    </cfRule>
    <cfRule type="cellIs" dxfId="8416" priority="11890" operator="between">
      <formula>"ITAÚ FILIAL"</formula>
      <formula>"ITAÚ FILIAL"</formula>
    </cfRule>
    <cfRule type="cellIs" dxfId="8415" priority="11891" operator="between">
      <formula>"ITAÚ FILIAL"</formula>
      <formula>"ITAÚ FILIAL"</formula>
    </cfRule>
    <cfRule type="cellIs" dxfId="8414" priority="11892" operator="between">
      <formula>"ITAÚ MATRIZ"</formula>
      <formula>"ITAÚ MATRIZ"</formula>
    </cfRule>
    <cfRule type="cellIs" dxfId="8413" priority="11893" operator="equal">
      <formula>"ITAÚ"</formula>
    </cfRule>
    <cfRule type="cellIs" dxfId="8412" priority="11894" operator="equal">
      <formula>"ITAÚ"</formula>
    </cfRule>
    <cfRule type="cellIs" dxfId="8411" priority="11895" operator="equal">
      <formula>"ITAÚ MATRIZ"</formula>
    </cfRule>
    <cfRule type="cellIs" dxfId="8410" priority="11896" operator="between">
      <formula>"SAFRA"</formula>
      <formula>"SAFRA"</formula>
    </cfRule>
    <cfRule type="cellIs" dxfId="8409" priority="11897" operator="between">
      <formula>"SAFRA"</formula>
      <formula>"SAFRA"</formula>
    </cfRule>
    <cfRule type="cellIs" dxfId="8408" priority="11898" operator="between">
      <formula>"DAYCOVAL"</formula>
      <formula>"DAYCOVAL"</formula>
    </cfRule>
    <cfRule type="cellIs" dxfId="8407" priority="11899" operator="between">
      <formula>"ITAÚ FILIAL"</formula>
      <formula>"ITAÚ FILIAL"</formula>
    </cfRule>
    <cfRule type="cellIs" dxfId="8406" priority="11900" operator="between">
      <formula>"ITAÚ FILIAL"</formula>
      <formula>"ITAÚ FILIAL"</formula>
    </cfRule>
    <cfRule type="cellIs" dxfId="8405" priority="11901" operator="between">
      <formula>"ITAÚ MATRIZ"</formula>
      <formula>"ITAÚ MATRIZ"</formula>
    </cfRule>
    <cfRule type="cellIs" dxfId="8404" priority="11902" operator="equal">
      <formula>"ITAÚ"</formula>
    </cfRule>
    <cfRule type="cellIs" dxfId="8403" priority="11903" operator="equal">
      <formula>"ITAÚ"</formula>
    </cfRule>
    <cfRule type="cellIs" dxfId="8402" priority="11904" operator="between">
      <formula>"SAFRA"</formula>
      <formula>"SAFRA"</formula>
    </cfRule>
    <cfRule type="cellIs" dxfId="8401" priority="11905" operator="between">
      <formula>"SAFRA"</formula>
      <formula>"SAFRA"</formula>
    </cfRule>
    <cfRule type="cellIs" dxfId="8400" priority="11906" operator="between">
      <formula>"DAYCOVAL"</formula>
      <formula>"DAYCOVAL"</formula>
    </cfRule>
    <cfRule type="cellIs" dxfId="8399" priority="11907" operator="between">
      <formula>"ITAÚ FILIAL"</formula>
      <formula>"ITAÚ FILIAL"</formula>
    </cfRule>
    <cfRule type="cellIs" dxfId="8398" priority="11908" operator="between">
      <formula>"ITAÚ FILIAL"</formula>
      <formula>"ITAÚ FILIAL"</formula>
    </cfRule>
    <cfRule type="cellIs" dxfId="8397" priority="11909" operator="equal">
      <formula>"ITAÚ"</formula>
    </cfRule>
    <cfRule type="cellIs" dxfId="8396" priority="11910" operator="equal">
      <formula>"ITAÚ MATRIZ"</formula>
    </cfRule>
    <cfRule type="cellIs" dxfId="8395" priority="11911" operator="between">
      <formula>"ITAÚ MATRIZ"</formula>
      <formula>"ITAÚ MATRIZ"</formula>
    </cfRule>
    <cfRule type="cellIs" dxfId="8394" priority="11912" operator="equal">
      <formula>"ITAÚ"</formula>
    </cfRule>
    <cfRule type="cellIs" dxfId="8393" priority="11913" operator="equal">
      <formula>"ITAÚ MATRIZ"</formula>
    </cfRule>
    <cfRule type="cellIs" dxfId="8392" priority="11914" operator="between">
      <formula>"SAFRA"</formula>
      <formula>"SAFRA"</formula>
    </cfRule>
    <cfRule type="cellIs" dxfId="8391" priority="11915" operator="between">
      <formula>"SAFRA"</formula>
      <formula>"SAFRA"</formula>
    </cfRule>
    <cfRule type="cellIs" dxfId="8390" priority="11916" operator="between">
      <formula>"DAYCOVAL"</formula>
      <formula>"DAYCOVAL"</formula>
    </cfRule>
    <cfRule type="cellIs" dxfId="8389" priority="11917" operator="between">
      <formula>"ITAÚ FILIAL"</formula>
      <formula>"ITAÚ FILIAL"</formula>
    </cfRule>
    <cfRule type="cellIs" dxfId="8388" priority="11918" operator="between">
      <formula>"ITAÚ FILIAL"</formula>
      <formula>"ITAÚ FILIAL"</formula>
    </cfRule>
    <cfRule type="cellIs" dxfId="8387" priority="11919" operator="between">
      <formula>"ITAÚ MATRIZ"</formula>
      <formula>"ITAÚ MATRIZ"</formula>
    </cfRule>
    <cfRule type="cellIs" dxfId="8386" priority="11920" operator="equal">
      <formula>"ITAÚ"</formula>
    </cfRule>
    <cfRule type="cellIs" dxfId="8385" priority="11921" operator="equal">
      <formula>"ITAÚ"</formula>
    </cfRule>
    <cfRule type="cellIs" dxfId="8384" priority="11922" operator="between">
      <formula>"SAFRA"</formula>
      <formula>"SAFRA"</formula>
    </cfRule>
    <cfRule type="cellIs" dxfId="8383" priority="12020" operator="equal">
      <formula>"ITAÚ"</formula>
    </cfRule>
    <cfRule type="cellIs" dxfId="8382" priority="11924" operator="between">
      <formula>"DAYCOVAL"</formula>
      <formula>"DAYCOVAL"</formula>
    </cfRule>
    <cfRule type="cellIs" dxfId="8381" priority="11925" operator="between">
      <formula>"ITAÚ FILIAL"</formula>
      <formula>"ITAÚ FILIAL"</formula>
    </cfRule>
    <cfRule type="cellIs" dxfId="8380" priority="11926" operator="between">
      <formula>"ITAÚ FILIAL"</formula>
      <formula>"ITAÚ FILIAL"</formula>
    </cfRule>
    <cfRule type="cellIs" dxfId="8379" priority="11927" operator="equal">
      <formula>"ITAÚ"</formula>
    </cfRule>
    <cfRule type="cellIs" dxfId="8378" priority="11928" operator="equal">
      <formula>"ITAÚ MATRIZ"</formula>
    </cfRule>
    <cfRule type="cellIs" dxfId="8377" priority="11929" operator="between">
      <formula>"ITAÚ MATRIZ"</formula>
      <formula>"ITAÚ MATRIZ"</formula>
    </cfRule>
    <cfRule type="cellIs" dxfId="8376" priority="11930" operator="equal">
      <formula>"ITAÚ"</formula>
    </cfRule>
    <cfRule type="cellIs" dxfId="8375" priority="11931" operator="equal">
      <formula>"ITAÚ MATRIZ"</formula>
    </cfRule>
    <cfRule type="cellIs" dxfId="8374" priority="11932" operator="between">
      <formula>"SAFRA"</formula>
      <formula>"SAFRA"</formula>
    </cfRule>
    <cfRule type="cellIs" dxfId="8373" priority="11933" operator="between">
      <formula>"SAFRA"</formula>
      <formula>"SAFRA"</formula>
    </cfRule>
    <cfRule type="cellIs" dxfId="8372" priority="11935" operator="between">
      <formula>"ITAÚ FILIAL"</formula>
      <formula>"ITAÚ FILIAL"</formula>
    </cfRule>
    <cfRule type="cellIs" dxfId="8371" priority="11937" operator="between">
      <formula>"ITAÚ MATRIZ"</formula>
      <formula>"ITAÚ MATRIZ"</formula>
    </cfRule>
    <cfRule type="cellIs" dxfId="8370" priority="11938" operator="equal">
      <formula>"ITAÚ"</formula>
    </cfRule>
    <cfRule type="cellIs" dxfId="8369" priority="11939" operator="equal">
      <formula>"ITAÚ"</formula>
    </cfRule>
    <cfRule type="cellIs" dxfId="8368" priority="11940" operator="equal">
      <formula>"ITAÚ MATRIZ"</formula>
    </cfRule>
    <cfRule type="cellIs" dxfId="8367" priority="11942" operator="between">
      <formula>"SAFRA"</formula>
      <formula>"SAFRA"</formula>
    </cfRule>
    <cfRule type="cellIs" dxfId="8366" priority="11943" operator="between">
      <formula>"DAYCOVAL"</formula>
      <formula>"DAYCOVAL"</formula>
    </cfRule>
    <cfRule type="cellIs" dxfId="8365" priority="11944" operator="between">
      <formula>"ITAÚ FILIAL"</formula>
      <formula>"ITAÚ FILIAL"</formula>
    </cfRule>
    <cfRule type="cellIs" dxfId="8364" priority="11945" operator="between">
      <formula>"ITAÚ FILIAL"</formula>
      <formula>"ITAÚ FILIAL"</formula>
    </cfRule>
    <cfRule type="cellIs" dxfId="8363" priority="11946" operator="between">
      <formula>"ITAÚ MATRIZ"</formula>
      <formula>"ITAÚ MATRIZ"</formula>
    </cfRule>
    <cfRule type="cellIs" dxfId="8362" priority="11947" operator="equal">
      <formula>"ITAÚ"</formula>
    </cfRule>
    <cfRule type="cellIs" dxfId="8361" priority="11948" operator="equal">
      <formula>"ITAÚ"</formula>
    </cfRule>
    <cfRule type="cellIs" dxfId="8360" priority="11949" operator="equal">
      <formula>"ITAÚ MATRIZ"</formula>
    </cfRule>
    <cfRule type="cellIs" dxfId="8359" priority="11950" operator="between">
      <formula>"SAFRA"</formula>
      <formula>"SAFRA"</formula>
    </cfRule>
    <cfRule type="cellIs" dxfId="8358" priority="11951" operator="between">
      <formula>"SAFRA"</formula>
      <formula>"SAFRA"</formula>
    </cfRule>
    <cfRule type="cellIs" dxfId="8357" priority="11952" operator="between">
      <formula>"DAYCOVAL"</formula>
      <formula>"DAYCOVAL"</formula>
    </cfRule>
    <cfRule type="cellIs" dxfId="8356" priority="11953" operator="between">
      <formula>"ITAÚ FILIAL"</formula>
      <formula>"ITAÚ FILIAL"</formula>
    </cfRule>
    <cfRule type="cellIs" dxfId="8355" priority="11954" operator="between">
      <formula>"ITAÚ FILIAL"</formula>
      <formula>"ITAÚ FILIAL"</formula>
    </cfRule>
    <cfRule type="cellIs" dxfId="8354" priority="11955" operator="between">
      <formula>"ITAÚ MATRIZ"</formula>
      <formula>"ITAÚ MATRIZ"</formula>
    </cfRule>
    <cfRule type="cellIs" dxfId="8353" priority="11956" operator="equal">
      <formula>"ITAÚ"</formula>
    </cfRule>
    <cfRule type="cellIs" dxfId="8352" priority="11957" operator="equal">
      <formula>"ITAÚ"</formula>
    </cfRule>
    <cfRule type="cellIs" dxfId="8351" priority="11958" operator="equal">
      <formula>"ITAÚ MATRIZ"</formula>
    </cfRule>
    <cfRule type="cellIs" dxfId="8350" priority="11959" operator="between">
      <formula>"SAFRA"</formula>
      <formula>"SAFRA"</formula>
    </cfRule>
    <cfRule type="cellIs" dxfId="8349" priority="11960" operator="between">
      <formula>"SAFRA"</formula>
      <formula>"SAFRA"</formula>
    </cfRule>
    <cfRule type="cellIs" dxfId="8348" priority="11961" operator="between">
      <formula>"DAYCOVAL"</formula>
      <formula>"DAYCOVAL"</formula>
    </cfRule>
    <cfRule type="cellIs" dxfId="8347" priority="11962" operator="between">
      <formula>"ITAÚ FILIAL"</formula>
      <formula>"ITAÚ FILIAL"</formula>
    </cfRule>
    <cfRule type="cellIs" dxfId="8346" priority="11963" operator="between">
      <formula>"ITAÚ FILIAL"</formula>
      <formula>"ITAÚ FILIAL"</formula>
    </cfRule>
    <cfRule type="cellIs" dxfId="8345" priority="11964" operator="between">
      <formula>"ITAÚ MATRIZ"</formula>
      <formula>"ITAÚ MATRIZ"</formula>
    </cfRule>
    <cfRule type="cellIs" dxfId="8344" priority="11965" operator="equal">
      <formula>"ITAÚ"</formula>
    </cfRule>
    <cfRule type="cellIs" dxfId="8343" priority="11966" operator="equal">
      <formula>"ITAÚ"</formula>
    </cfRule>
    <cfRule type="cellIs" dxfId="8342" priority="11967" operator="equal">
      <formula>"ITAÚ MATRIZ"</formula>
    </cfRule>
    <cfRule type="cellIs" dxfId="8341" priority="11968" operator="between">
      <formula>"SAFRA"</formula>
      <formula>"SAFRA"</formula>
    </cfRule>
    <cfRule type="cellIs" dxfId="8340" priority="11969" operator="between">
      <formula>"SAFRA"</formula>
      <formula>"SAFRA"</formula>
    </cfRule>
    <cfRule type="cellIs" dxfId="8339" priority="11970" operator="between">
      <formula>"DAYCOVAL"</formula>
      <formula>"DAYCOVAL"</formula>
    </cfRule>
    <cfRule type="cellIs" dxfId="8338" priority="11971" operator="between">
      <formula>"ITAÚ FILIAL"</formula>
      <formula>"ITAÚ FILIAL"</formula>
    </cfRule>
    <cfRule type="cellIs" dxfId="8337" priority="11972" operator="between">
      <formula>"ITAÚ FILIAL"</formula>
      <formula>"ITAÚ FILIAL"</formula>
    </cfRule>
    <cfRule type="cellIs" dxfId="8336" priority="11973" operator="between">
      <formula>"ITAÚ MATRIZ"</formula>
      <formula>"ITAÚ MATRIZ"</formula>
    </cfRule>
    <cfRule type="cellIs" dxfId="8335" priority="11974" operator="equal">
      <formula>"ITAÚ"</formula>
    </cfRule>
    <cfRule type="cellIs" dxfId="8334" priority="11975" operator="equal">
      <formula>"ITAÚ"</formula>
    </cfRule>
    <cfRule type="cellIs" dxfId="8333" priority="11976" operator="between">
      <formula>"SAFRA"</formula>
      <formula>"SAFRA"</formula>
    </cfRule>
    <cfRule type="cellIs" dxfId="8332" priority="11977" operator="between">
      <formula>"SAFRA"</formula>
      <formula>"SAFRA"</formula>
    </cfRule>
    <cfRule type="cellIs" dxfId="8331" priority="11978" operator="between">
      <formula>"DAYCOVAL"</formula>
      <formula>"DAYCOVAL"</formula>
    </cfRule>
    <cfRule type="cellIs" dxfId="8330" priority="11979" operator="between">
      <formula>"ITAÚ FILIAL"</formula>
      <formula>"ITAÚ FILIAL"</formula>
    </cfRule>
    <cfRule type="cellIs" dxfId="8329" priority="11980" operator="between">
      <formula>"ITAÚ FILIAL"</formula>
      <formula>"ITAÚ FILIAL"</formula>
    </cfRule>
    <cfRule type="cellIs" dxfId="8328" priority="11981" operator="equal">
      <formula>"ITAÚ"</formula>
    </cfRule>
    <cfRule type="cellIs" dxfId="8327" priority="11982" operator="equal">
      <formula>"ITAÚ MATRIZ"</formula>
    </cfRule>
    <cfRule type="cellIs" dxfId="8326" priority="11983" operator="between">
      <formula>"ITAÚ MATRIZ"</formula>
      <formula>"ITAÚ MATRIZ"</formula>
    </cfRule>
    <cfRule type="cellIs" dxfId="8325" priority="11984" operator="equal">
      <formula>"ITAÚ"</formula>
    </cfRule>
    <cfRule type="cellIs" dxfId="8324" priority="11985" operator="equal">
      <formula>"ITAÚ MATRIZ"</formula>
    </cfRule>
    <cfRule type="cellIs" dxfId="8323" priority="11986" operator="between">
      <formula>"SAFRA"</formula>
      <formula>"SAFRA"</formula>
    </cfRule>
    <cfRule type="cellIs" dxfId="8322" priority="11987" operator="between">
      <formula>"SAFRA"</formula>
      <formula>"SAFRA"</formula>
    </cfRule>
    <cfRule type="cellIs" dxfId="8321" priority="11988" operator="between">
      <formula>"DAYCOVAL"</formula>
      <formula>"DAYCOVAL"</formula>
    </cfRule>
    <cfRule type="cellIs" dxfId="8320" priority="11989" operator="between">
      <formula>"ITAÚ FILIAL"</formula>
      <formula>"ITAÚ FILIAL"</formula>
    </cfRule>
    <cfRule type="cellIs" dxfId="8319" priority="11990" operator="between">
      <formula>"ITAÚ FILIAL"</formula>
      <formula>"ITAÚ FILIAL"</formula>
    </cfRule>
    <cfRule type="cellIs" dxfId="8318" priority="11991" operator="between">
      <formula>"ITAÚ MATRIZ"</formula>
      <formula>"ITAÚ MATRIZ"</formula>
    </cfRule>
    <cfRule type="cellIs" dxfId="8317" priority="11992" operator="equal">
      <formula>"ITAÚ"</formula>
    </cfRule>
    <cfRule type="cellIs" dxfId="8316" priority="11993" operator="equal">
      <formula>"ITAÚ"</formula>
    </cfRule>
    <cfRule type="cellIs" dxfId="8315" priority="11994" operator="between">
      <formula>"SAFRA"</formula>
      <formula>"SAFRA"</formula>
    </cfRule>
    <cfRule type="cellIs" dxfId="8314" priority="11995" operator="between">
      <formula>"SAFRA"</formula>
      <formula>"SAFRA"</formula>
    </cfRule>
    <cfRule type="cellIs" dxfId="8313" priority="11996" operator="between">
      <formula>"DAYCOVAL"</formula>
      <formula>"DAYCOVAL"</formula>
    </cfRule>
    <cfRule type="cellIs" dxfId="8312" priority="11997" operator="between">
      <formula>"ITAÚ FILIAL"</formula>
      <formula>"ITAÚ FILIAL"</formula>
    </cfRule>
    <cfRule type="cellIs" dxfId="8311" priority="11998" operator="between">
      <formula>"ITAÚ FILIAL"</formula>
      <formula>"ITAÚ FILIAL"</formula>
    </cfRule>
    <cfRule type="cellIs" dxfId="8310" priority="11999" operator="equal">
      <formula>"ITAÚ"</formula>
    </cfRule>
    <cfRule type="cellIs" dxfId="8309" priority="12000" operator="equal">
      <formula>"ITAÚ MATRIZ"</formula>
    </cfRule>
    <cfRule type="cellIs" dxfId="8308" priority="12001" operator="between">
      <formula>"ITAÚ MATRIZ"</formula>
      <formula>"ITAÚ MATRIZ"</formula>
    </cfRule>
    <cfRule type="cellIs" dxfId="8307" priority="12002" operator="equal">
      <formula>"ITAÚ"</formula>
    </cfRule>
    <cfRule type="cellIs" dxfId="8306" priority="12003" operator="equal">
      <formula>"ITAÚ MATRIZ"</formula>
    </cfRule>
    <cfRule type="cellIs" dxfId="8305" priority="12004" operator="between">
      <formula>"SAFRA"</formula>
      <formula>"SAFRA"</formula>
    </cfRule>
    <cfRule type="cellIs" dxfId="8304" priority="12005" operator="between">
      <formula>"SAFRA"</formula>
      <formula>"SAFRA"</formula>
    </cfRule>
    <cfRule type="cellIs" dxfId="8303" priority="12006" operator="between">
      <formula>"DAYCOVAL"</formula>
      <formula>"DAYCOVAL"</formula>
    </cfRule>
    <cfRule type="cellIs" dxfId="8302" priority="12007" operator="between">
      <formula>"ITAÚ FILIAL"</formula>
      <formula>"ITAÚ FILIAL"</formula>
    </cfRule>
    <cfRule type="cellIs" dxfId="8301" priority="12008" operator="between">
      <formula>"ITAÚ FILIAL"</formula>
      <formula>"ITAÚ FILIAL"</formula>
    </cfRule>
    <cfRule type="cellIs" dxfId="8300" priority="12009" operator="between">
      <formula>"ITAÚ MATRIZ"</formula>
      <formula>"ITAÚ MATRIZ"</formula>
    </cfRule>
    <cfRule type="cellIs" dxfId="8299" priority="11923" operator="between">
      <formula>"SAFRA"</formula>
      <formula>"SAFRA"</formula>
    </cfRule>
  </conditionalFormatting>
  <conditionalFormatting sqref="I21:I23">
    <cfRule type="cellIs" dxfId="8298" priority="11809" operator="equal">
      <formula>"ITAÚ"</formula>
    </cfRule>
    <cfRule type="cellIs" dxfId="8297" priority="11808" operator="between">
      <formula>"ITAÚ MATRIZ"</formula>
      <formula>"ITAÚ MATRIZ"</formula>
    </cfRule>
    <cfRule type="cellIs" dxfId="8296" priority="11807" operator="equal">
      <formula>"ITAÚ MATRIZ"</formula>
    </cfRule>
    <cfRule type="cellIs" dxfId="8295" priority="11806" operator="equal">
      <formula>"ITAÚ"</formula>
    </cfRule>
    <cfRule type="cellIs" dxfId="8294" priority="11805" operator="between">
      <formula>"ITAÚ FILIAL"</formula>
      <formula>"ITAÚ FILIAL"</formula>
    </cfRule>
    <cfRule type="cellIs" dxfId="8293" priority="11804" operator="between">
      <formula>"ITAÚ FILIAL"</formula>
      <formula>"ITAÚ FILIAL"</formula>
    </cfRule>
    <cfRule type="cellIs" dxfId="8292" priority="11803" operator="between">
      <formula>"DAYCOVAL"</formula>
      <formula>"DAYCOVAL"</formula>
    </cfRule>
    <cfRule type="cellIs" dxfId="8291" priority="11802" operator="between">
      <formula>"SAFRA"</formula>
      <formula>"SAFRA"</formula>
    </cfRule>
    <cfRule type="cellIs" dxfId="8290" priority="11801" operator="between">
      <formula>"SAFRA"</formula>
      <formula>"SAFRA"</formula>
    </cfRule>
  </conditionalFormatting>
  <conditionalFormatting sqref="I23">
    <cfRule type="cellIs" dxfId="8289" priority="11626" operator="between">
      <formula>"ITAÚ FILIAL"</formula>
      <formula>"ITAÚ FILIAL"</formula>
    </cfRule>
    <cfRule type="cellIs" dxfId="8288" priority="11791" operator="equal">
      <formula>"ITAÚ"</formula>
    </cfRule>
    <cfRule type="cellIs" dxfId="8287" priority="11629" operator="equal">
      <formula>"ITAÚ"</formula>
    </cfRule>
    <cfRule type="cellIs" dxfId="8286" priority="11630" operator="between">
      <formula>"SAFRA"</formula>
      <formula>"SAFRA"</formula>
    </cfRule>
    <cfRule type="cellIs" dxfId="8285" priority="11631" operator="between">
      <formula>"SAFRA"</formula>
      <formula>"SAFRA"</formula>
    </cfRule>
    <cfRule type="cellIs" dxfId="8284" priority="11623" operator="between">
      <formula>"SAFRA"</formula>
      <formula>"SAFRA"</formula>
    </cfRule>
    <cfRule type="cellIs" dxfId="8283" priority="11622" operator="between">
      <formula>"SAFRA"</formula>
      <formula>"SAFRA"</formula>
    </cfRule>
    <cfRule type="cellIs" dxfId="8282" priority="11621" operator="equal">
      <formula>"ITAÚ MATRIZ"</formula>
    </cfRule>
    <cfRule type="cellIs" dxfId="8281" priority="11799" operator="between">
      <formula>"ITAÚ MATRIZ"</formula>
      <formula>"ITAÚ MATRIZ"</formula>
    </cfRule>
    <cfRule type="cellIs" dxfId="8280" priority="11798" operator="equal">
      <formula>"ITAÚ MATRIZ"</formula>
    </cfRule>
    <cfRule type="cellIs" dxfId="8279" priority="11797" operator="equal">
      <formula>"ITAÚ"</formula>
    </cfRule>
    <cfRule type="cellIs" dxfId="8278" priority="11624" operator="between">
      <formula>"DAYCOVAL"</formula>
      <formula>"DAYCOVAL"</formula>
    </cfRule>
    <cfRule type="cellIs" dxfId="8277" priority="11796" operator="between">
      <formula>"ITAÚ FILIAL"</formula>
      <formula>"ITAÚ FILIAL"</formula>
    </cfRule>
    <cfRule type="cellIs" dxfId="8276" priority="11795" operator="between">
      <formula>"ITAÚ FILIAL"</formula>
      <formula>"ITAÚ FILIAL"</formula>
    </cfRule>
    <cfRule type="cellIs" dxfId="8275" priority="11794" operator="between">
      <formula>"DAYCOVAL"</formula>
      <formula>"DAYCOVAL"</formula>
    </cfRule>
    <cfRule type="cellIs" dxfId="8274" priority="11793" operator="between">
      <formula>"SAFRA"</formula>
      <formula>"SAFRA"</formula>
    </cfRule>
    <cfRule type="cellIs" dxfId="8273" priority="11792" operator="between">
      <formula>"SAFRA"</formula>
      <formula>"SAFRA"</formula>
    </cfRule>
    <cfRule type="cellIs" dxfId="8272" priority="11632" operator="between">
      <formula>"DAYCOVAL"</formula>
      <formula>"DAYCOVAL"</formula>
    </cfRule>
    <cfRule type="cellIs" dxfId="8271" priority="11633" operator="between">
      <formula>"ITAÚ FILIAL"</formula>
      <formula>"ITAÚ FILIAL"</formula>
    </cfRule>
    <cfRule type="cellIs" dxfId="8270" priority="11634" operator="between">
      <formula>"ITAÚ FILIAL"</formula>
      <formula>"ITAÚ FILIAL"</formula>
    </cfRule>
    <cfRule type="cellIs" dxfId="8269" priority="11635" operator="equal">
      <formula>"ITAÚ"</formula>
    </cfRule>
    <cfRule type="cellIs" dxfId="8268" priority="11636" operator="equal">
      <formula>"ITAÚ MATRIZ"</formula>
    </cfRule>
    <cfRule type="cellIs" dxfId="8267" priority="11637" operator="between">
      <formula>"ITAÚ MATRIZ"</formula>
      <formula>"ITAÚ MATRIZ"</formula>
    </cfRule>
    <cfRule type="cellIs" dxfId="8266" priority="11638" operator="equal">
      <formula>"ITAÚ"</formula>
    </cfRule>
    <cfRule type="cellIs" dxfId="8265" priority="11639" operator="equal">
      <formula>"ITAÚ MATRIZ"</formula>
    </cfRule>
    <cfRule type="cellIs" dxfId="8264" priority="11640" operator="between">
      <formula>"SAFRA"</formula>
      <formula>"SAFRA"</formula>
    </cfRule>
    <cfRule type="cellIs" dxfId="8263" priority="11641" operator="between">
      <formula>"SAFRA"</formula>
      <formula>"SAFRA"</formula>
    </cfRule>
    <cfRule type="cellIs" dxfId="8262" priority="11642" operator="between">
      <formula>"DAYCOVAL"</formula>
      <formula>"DAYCOVAL"</formula>
    </cfRule>
    <cfRule type="cellIs" dxfId="8261" priority="11643" operator="between">
      <formula>"ITAÚ FILIAL"</formula>
      <formula>"ITAÚ FILIAL"</formula>
    </cfRule>
    <cfRule type="cellIs" dxfId="8260" priority="11644" operator="between">
      <formula>"ITAÚ FILIAL"</formula>
      <formula>"ITAÚ FILIAL"</formula>
    </cfRule>
    <cfRule type="cellIs" dxfId="8259" priority="11645" operator="between">
      <formula>"ITAÚ MATRIZ"</formula>
      <formula>"ITAÚ MATRIZ"</formula>
    </cfRule>
    <cfRule type="cellIs" dxfId="8258" priority="11646" operator="equal">
      <formula>"ITAÚ"</formula>
    </cfRule>
    <cfRule type="cellIs" dxfId="8257" priority="11647" operator="equal">
      <formula>"ITAÚ"</formula>
    </cfRule>
    <cfRule type="cellIs" dxfId="8256" priority="11648" operator="equal">
      <formula>"ITAÚ MATRIZ"</formula>
    </cfRule>
    <cfRule type="cellIs" dxfId="8255" priority="11649" operator="between">
      <formula>"SAFRA"</formula>
      <formula>"SAFRA"</formula>
    </cfRule>
    <cfRule type="cellIs" dxfId="8254" priority="11650" operator="between">
      <formula>"SAFRA"</formula>
      <formula>"SAFRA"</formula>
    </cfRule>
    <cfRule type="cellIs" dxfId="8253" priority="11651" operator="between">
      <formula>"DAYCOVAL"</formula>
      <formula>"DAYCOVAL"</formula>
    </cfRule>
    <cfRule type="cellIs" dxfId="8252" priority="11652" operator="between">
      <formula>"ITAÚ FILIAL"</formula>
      <formula>"ITAÚ FILIAL"</formula>
    </cfRule>
    <cfRule type="cellIs" dxfId="8251" priority="11653" operator="between">
      <formula>"ITAÚ FILIAL"</formula>
      <formula>"ITAÚ FILIAL"</formula>
    </cfRule>
    <cfRule type="cellIs" dxfId="8250" priority="11654" operator="between">
      <formula>"ITAÚ MATRIZ"</formula>
      <formula>"ITAÚ MATRIZ"</formula>
    </cfRule>
    <cfRule type="cellIs" dxfId="8249" priority="11655" operator="equal">
      <formula>"ITAÚ"</formula>
    </cfRule>
    <cfRule type="cellIs" dxfId="8248" priority="11656" operator="equal">
      <formula>"ITAÚ"</formula>
    </cfRule>
    <cfRule type="cellIs" dxfId="8247" priority="11657" operator="equal">
      <formula>"ITAÚ MATRIZ"</formula>
    </cfRule>
    <cfRule type="cellIs" dxfId="8246" priority="11658" operator="between">
      <formula>"SAFRA"</formula>
      <formula>"SAFRA"</formula>
    </cfRule>
    <cfRule type="cellIs" dxfId="8245" priority="11659" operator="between">
      <formula>"SAFRA"</formula>
      <formula>"SAFRA"</formula>
    </cfRule>
    <cfRule type="cellIs" dxfId="8244" priority="11660" operator="between">
      <formula>"DAYCOVAL"</formula>
      <formula>"DAYCOVAL"</formula>
    </cfRule>
    <cfRule type="cellIs" dxfId="8243" priority="11661" operator="between">
      <formula>"ITAÚ FILIAL"</formula>
      <formula>"ITAÚ FILIAL"</formula>
    </cfRule>
    <cfRule type="cellIs" dxfId="8242" priority="11662" operator="between">
      <formula>"ITAÚ FILIAL"</formula>
      <formula>"ITAÚ FILIAL"</formula>
    </cfRule>
    <cfRule type="cellIs" dxfId="8241" priority="11663" operator="between">
      <formula>"ITAÚ MATRIZ"</formula>
      <formula>"ITAÚ MATRIZ"</formula>
    </cfRule>
    <cfRule type="cellIs" dxfId="8240" priority="11664" operator="equal">
      <formula>"ITAÚ"</formula>
    </cfRule>
    <cfRule type="cellIs" dxfId="8239" priority="11665" operator="equal">
      <formula>"ITAÚ"</formula>
    </cfRule>
    <cfRule type="cellIs" dxfId="8238" priority="11666" operator="equal">
      <formula>"ITAÚ MATRIZ"</formula>
    </cfRule>
    <cfRule type="cellIs" dxfId="8237" priority="11667" operator="between">
      <formula>"SAFRA"</formula>
      <formula>"SAFRA"</formula>
    </cfRule>
    <cfRule type="cellIs" dxfId="8236" priority="11668" operator="between">
      <formula>"SAFRA"</formula>
      <formula>"SAFRA"</formula>
    </cfRule>
    <cfRule type="cellIs" dxfId="8235" priority="11669" operator="between">
      <formula>"DAYCOVAL"</formula>
      <formula>"DAYCOVAL"</formula>
    </cfRule>
    <cfRule type="cellIs" dxfId="8234" priority="11670" operator="between">
      <formula>"ITAÚ FILIAL"</formula>
      <formula>"ITAÚ FILIAL"</formula>
    </cfRule>
    <cfRule type="cellIs" dxfId="8233" priority="11671" operator="between">
      <formula>"ITAÚ FILIAL"</formula>
      <formula>"ITAÚ FILIAL"</formula>
    </cfRule>
    <cfRule type="cellIs" dxfId="8232" priority="11672" operator="between">
      <formula>"ITAÚ MATRIZ"</formula>
      <formula>"ITAÚ MATRIZ"</formula>
    </cfRule>
    <cfRule type="cellIs" dxfId="8231" priority="11673" operator="equal">
      <formula>"ITAÚ"</formula>
    </cfRule>
    <cfRule type="cellIs" dxfId="8230" priority="11674" operator="equal">
      <formula>"ITAÚ"</formula>
    </cfRule>
    <cfRule type="cellIs" dxfId="8229" priority="11675" operator="equal">
      <formula>"ITAÚ MATRIZ"</formula>
    </cfRule>
    <cfRule type="cellIs" dxfId="8228" priority="11676" operator="between">
      <formula>"SAFRA"</formula>
      <formula>"SAFRA"</formula>
    </cfRule>
    <cfRule type="cellIs" dxfId="8227" priority="11677" operator="between">
      <formula>"SAFRA"</formula>
      <formula>"SAFRA"</formula>
    </cfRule>
    <cfRule type="cellIs" dxfId="8226" priority="11678" operator="between">
      <formula>"DAYCOVAL"</formula>
      <formula>"DAYCOVAL"</formula>
    </cfRule>
    <cfRule type="cellIs" dxfId="8225" priority="11679" operator="between">
      <formula>"ITAÚ FILIAL"</formula>
      <formula>"ITAÚ FILIAL"</formula>
    </cfRule>
    <cfRule type="cellIs" dxfId="8224" priority="11680" operator="between">
      <formula>"ITAÚ FILIAL"</formula>
      <formula>"ITAÚ FILIAL"</formula>
    </cfRule>
    <cfRule type="cellIs" dxfId="8223" priority="11681" operator="between">
      <formula>"ITAÚ MATRIZ"</formula>
      <formula>"ITAÚ MATRIZ"</formula>
    </cfRule>
    <cfRule type="cellIs" dxfId="8222" priority="11682" operator="equal">
      <formula>"ITAÚ"</formula>
    </cfRule>
    <cfRule type="cellIs" dxfId="8221" priority="11683" operator="equal">
      <formula>"ITAÚ"</formula>
    </cfRule>
    <cfRule type="cellIs" dxfId="8220" priority="11684" operator="between">
      <formula>"SAFRA"</formula>
      <formula>"SAFRA"</formula>
    </cfRule>
    <cfRule type="cellIs" dxfId="8219" priority="11685" operator="between">
      <formula>"SAFRA"</formula>
      <formula>"SAFRA"</formula>
    </cfRule>
    <cfRule type="cellIs" dxfId="8218" priority="11686" operator="between">
      <formula>"DAYCOVAL"</formula>
      <formula>"DAYCOVAL"</formula>
    </cfRule>
    <cfRule type="cellIs" dxfId="8217" priority="11687" operator="between">
      <formula>"ITAÚ FILIAL"</formula>
      <formula>"ITAÚ FILIAL"</formula>
    </cfRule>
    <cfRule type="cellIs" dxfId="8216" priority="11688" operator="between">
      <formula>"ITAÚ FILIAL"</formula>
      <formula>"ITAÚ FILIAL"</formula>
    </cfRule>
    <cfRule type="cellIs" dxfId="8215" priority="11689" operator="equal">
      <formula>"ITAÚ"</formula>
    </cfRule>
    <cfRule type="cellIs" dxfId="8214" priority="11690" operator="equal">
      <formula>"ITAÚ MATRIZ"</formula>
    </cfRule>
    <cfRule type="cellIs" dxfId="8213" priority="11691" operator="between">
      <formula>"ITAÚ MATRIZ"</formula>
      <formula>"ITAÚ MATRIZ"</formula>
    </cfRule>
    <cfRule type="cellIs" dxfId="8212" priority="11692" operator="equal">
      <formula>"ITAÚ"</formula>
    </cfRule>
    <cfRule type="cellIs" dxfId="8211" priority="11693" operator="equal">
      <formula>"ITAÚ MATRIZ"</formula>
    </cfRule>
    <cfRule type="cellIs" dxfId="8210" priority="11694" operator="between">
      <formula>"SAFRA"</formula>
      <formula>"SAFRA"</formula>
    </cfRule>
    <cfRule type="cellIs" dxfId="8209" priority="11695" operator="between">
      <formula>"SAFRA"</formula>
      <formula>"SAFRA"</formula>
    </cfRule>
    <cfRule type="cellIs" dxfId="8208" priority="11696" operator="between">
      <formula>"DAYCOVAL"</formula>
      <formula>"DAYCOVAL"</formula>
    </cfRule>
    <cfRule type="cellIs" dxfId="8207" priority="11697" operator="between">
      <formula>"ITAÚ FILIAL"</formula>
      <formula>"ITAÚ FILIAL"</formula>
    </cfRule>
    <cfRule type="cellIs" dxfId="8206" priority="11698" operator="between">
      <formula>"ITAÚ FILIAL"</formula>
      <formula>"ITAÚ FILIAL"</formula>
    </cfRule>
    <cfRule type="cellIs" dxfId="8205" priority="11625" operator="between">
      <formula>"ITAÚ FILIAL"</formula>
      <formula>"ITAÚ FILIAL"</formula>
    </cfRule>
    <cfRule type="cellIs" dxfId="8204" priority="11699" operator="between">
      <formula>"ITAÚ MATRIZ"</formula>
      <formula>"ITAÚ MATRIZ"</formula>
    </cfRule>
    <cfRule type="cellIs" dxfId="8203" priority="11700" operator="equal">
      <formula>"ITAÚ"</formula>
    </cfRule>
    <cfRule type="cellIs" dxfId="8202" priority="11701" operator="equal">
      <formula>"ITAÚ"</formula>
    </cfRule>
    <cfRule type="cellIs" dxfId="8201" priority="11702" operator="between">
      <formula>"SAFRA"</formula>
      <formula>"SAFRA"</formula>
    </cfRule>
    <cfRule type="cellIs" dxfId="8200" priority="11627" operator="between">
      <formula>"ITAÚ MATRIZ"</formula>
      <formula>"ITAÚ MATRIZ"</formula>
    </cfRule>
    <cfRule type="cellIs" dxfId="8199" priority="11703" operator="between">
      <formula>"SAFRA"</formula>
      <formula>"SAFRA"</formula>
    </cfRule>
    <cfRule type="cellIs" dxfId="8198" priority="11628" operator="equal">
      <formula>"ITAÚ"</formula>
    </cfRule>
    <cfRule type="cellIs" dxfId="8197" priority="11704" operator="between">
      <formula>"DAYCOVAL"</formula>
      <formula>"DAYCOVAL"</formula>
    </cfRule>
    <cfRule type="cellIs" dxfId="8196" priority="11705" operator="between">
      <formula>"ITAÚ FILIAL"</formula>
      <formula>"ITAÚ FILIAL"</formula>
    </cfRule>
    <cfRule type="cellIs" dxfId="8195" priority="11706" operator="between">
      <formula>"ITAÚ FILIAL"</formula>
      <formula>"ITAÚ FILIAL"</formula>
    </cfRule>
    <cfRule type="cellIs" dxfId="8194" priority="11800" operator="equal">
      <formula>"ITAÚ"</formula>
    </cfRule>
    <cfRule type="cellIs" dxfId="8193" priority="11708" operator="equal">
      <formula>"ITAÚ MATRIZ"</formula>
    </cfRule>
    <cfRule type="cellIs" dxfId="8192" priority="11709" operator="between">
      <formula>"ITAÚ MATRIZ"</formula>
      <formula>"ITAÚ MATRIZ"</formula>
    </cfRule>
    <cfRule type="cellIs" dxfId="8191" priority="11710" operator="equal">
      <formula>"ITAÚ"</formula>
    </cfRule>
    <cfRule type="cellIs" dxfId="8190" priority="11711" operator="equal">
      <formula>"ITAÚ MATRIZ"</formula>
    </cfRule>
    <cfRule type="cellIs" dxfId="8189" priority="11712" operator="between">
      <formula>"SAFRA"</formula>
      <formula>"SAFRA"</formula>
    </cfRule>
    <cfRule type="cellIs" dxfId="8188" priority="11713" operator="between">
      <formula>"SAFRA"</formula>
      <formula>"SAFRA"</formula>
    </cfRule>
    <cfRule type="cellIs" dxfId="8187" priority="11714" operator="between">
      <formula>"DAYCOVAL"</formula>
      <formula>"DAYCOVAL"</formula>
    </cfRule>
    <cfRule type="cellIs" dxfId="8186" priority="11715" operator="between">
      <formula>"ITAÚ FILIAL"</formula>
      <formula>"ITAÚ FILIAL"</formula>
    </cfRule>
    <cfRule type="cellIs" dxfId="8185" priority="11716" operator="between">
      <formula>"ITAÚ FILIAL"</formula>
      <formula>"ITAÚ FILIAL"</formula>
    </cfRule>
    <cfRule type="cellIs" dxfId="8184" priority="11717" operator="between">
      <formula>"ITAÚ MATRIZ"</formula>
      <formula>"ITAÚ MATRIZ"</formula>
    </cfRule>
    <cfRule type="cellIs" dxfId="8183" priority="11718" operator="equal">
      <formula>"ITAÚ"</formula>
    </cfRule>
    <cfRule type="cellIs" dxfId="8182" priority="11719" operator="equal">
      <formula>"ITAÚ"</formula>
    </cfRule>
    <cfRule type="cellIs" dxfId="8181" priority="11720" operator="equal">
      <formula>"ITAÚ MATRIZ"</formula>
    </cfRule>
    <cfRule type="cellIs" dxfId="8180" priority="11721" operator="between">
      <formula>"SAFRA"</formula>
      <formula>"SAFRA"</formula>
    </cfRule>
    <cfRule type="cellIs" dxfId="8179" priority="11722" operator="between">
      <formula>"SAFRA"</formula>
      <formula>"SAFRA"</formula>
    </cfRule>
    <cfRule type="cellIs" dxfId="8178" priority="11723" operator="between">
      <formula>"DAYCOVAL"</formula>
      <formula>"DAYCOVAL"</formula>
    </cfRule>
    <cfRule type="cellIs" dxfId="8177" priority="11724" operator="between">
      <formula>"ITAÚ FILIAL"</formula>
      <formula>"ITAÚ FILIAL"</formula>
    </cfRule>
    <cfRule type="cellIs" dxfId="8176" priority="11725" operator="between">
      <formula>"ITAÚ FILIAL"</formula>
      <formula>"ITAÚ FILIAL"</formula>
    </cfRule>
    <cfRule type="cellIs" dxfId="8175" priority="11726" operator="between">
      <formula>"ITAÚ MATRIZ"</formula>
      <formula>"ITAÚ MATRIZ"</formula>
    </cfRule>
    <cfRule type="cellIs" dxfId="8174" priority="11727" operator="equal">
      <formula>"ITAÚ"</formula>
    </cfRule>
    <cfRule type="cellIs" dxfId="8173" priority="11728" operator="equal">
      <formula>"ITAÚ"</formula>
    </cfRule>
    <cfRule type="cellIs" dxfId="8172" priority="11729" operator="equal">
      <formula>"ITAÚ MATRIZ"</formula>
    </cfRule>
    <cfRule type="cellIs" dxfId="8171" priority="11730" operator="between">
      <formula>"SAFRA"</formula>
      <formula>"SAFRA"</formula>
    </cfRule>
    <cfRule type="cellIs" dxfId="8170" priority="11731" operator="between">
      <formula>"SAFRA"</formula>
      <formula>"SAFRA"</formula>
    </cfRule>
    <cfRule type="cellIs" dxfId="8169" priority="11732" operator="between">
      <formula>"DAYCOVAL"</formula>
      <formula>"DAYCOVAL"</formula>
    </cfRule>
    <cfRule type="cellIs" dxfId="8168" priority="11733" operator="between">
      <formula>"ITAÚ FILIAL"</formula>
      <formula>"ITAÚ FILIAL"</formula>
    </cfRule>
    <cfRule type="cellIs" dxfId="8167" priority="11734" operator="between">
      <formula>"ITAÚ FILIAL"</formula>
      <formula>"ITAÚ FILIAL"</formula>
    </cfRule>
    <cfRule type="cellIs" dxfId="8166" priority="11735" operator="between">
      <formula>"ITAÚ MATRIZ"</formula>
      <formula>"ITAÚ MATRIZ"</formula>
    </cfRule>
    <cfRule type="cellIs" dxfId="8165" priority="11736" operator="equal">
      <formula>"ITAÚ"</formula>
    </cfRule>
    <cfRule type="cellIs" dxfId="8164" priority="11737" operator="equal">
      <formula>"ITAÚ"</formula>
    </cfRule>
    <cfRule type="cellIs" dxfId="8163" priority="11738" operator="equal">
      <formula>"ITAÚ MATRIZ"</formula>
    </cfRule>
    <cfRule type="cellIs" dxfId="8162" priority="11739" operator="between">
      <formula>"SAFRA"</formula>
      <formula>"SAFRA"</formula>
    </cfRule>
    <cfRule type="cellIs" dxfId="8161" priority="11740" operator="between">
      <formula>"SAFRA"</formula>
      <formula>"SAFRA"</formula>
    </cfRule>
    <cfRule type="cellIs" dxfId="8160" priority="11741" operator="between">
      <formula>"DAYCOVAL"</formula>
      <formula>"DAYCOVAL"</formula>
    </cfRule>
    <cfRule type="cellIs" dxfId="8159" priority="11742" operator="between">
      <formula>"ITAÚ FILIAL"</formula>
      <formula>"ITAÚ FILIAL"</formula>
    </cfRule>
    <cfRule type="cellIs" dxfId="8158" priority="11743" operator="between">
      <formula>"ITAÚ FILIAL"</formula>
      <formula>"ITAÚ FILIAL"</formula>
    </cfRule>
    <cfRule type="cellIs" dxfId="8157" priority="11744" operator="between">
      <formula>"ITAÚ MATRIZ"</formula>
      <formula>"ITAÚ MATRIZ"</formula>
    </cfRule>
    <cfRule type="cellIs" dxfId="8156" priority="11745" operator="equal">
      <formula>"ITAÚ"</formula>
    </cfRule>
    <cfRule type="cellIs" dxfId="8155" priority="11746" operator="equal">
      <formula>"ITAÚ"</formula>
    </cfRule>
    <cfRule type="cellIs" dxfId="8154" priority="11747" operator="equal">
      <formula>"ITAÚ MATRIZ"</formula>
    </cfRule>
    <cfRule type="cellIs" dxfId="8153" priority="11748" operator="between">
      <formula>"SAFRA"</formula>
      <formula>"SAFRA"</formula>
    </cfRule>
    <cfRule type="cellIs" dxfId="8152" priority="11749" operator="between">
      <formula>"SAFRA"</formula>
      <formula>"SAFRA"</formula>
    </cfRule>
    <cfRule type="cellIs" dxfId="8151" priority="11750" operator="between">
      <formula>"DAYCOVAL"</formula>
      <formula>"DAYCOVAL"</formula>
    </cfRule>
    <cfRule type="cellIs" dxfId="8150" priority="11751" operator="between">
      <formula>"ITAÚ FILIAL"</formula>
      <formula>"ITAÚ FILIAL"</formula>
    </cfRule>
    <cfRule type="cellIs" dxfId="8149" priority="11752" operator="between">
      <formula>"ITAÚ FILIAL"</formula>
      <formula>"ITAÚ FILIAL"</formula>
    </cfRule>
    <cfRule type="cellIs" dxfId="8148" priority="11753" operator="between">
      <formula>"ITAÚ MATRIZ"</formula>
      <formula>"ITAÚ MATRIZ"</formula>
    </cfRule>
    <cfRule type="cellIs" dxfId="8147" priority="11754" operator="equal">
      <formula>"ITAÚ"</formula>
    </cfRule>
    <cfRule type="cellIs" dxfId="8146" priority="11755" operator="equal">
      <formula>"ITAÚ"</formula>
    </cfRule>
    <cfRule type="cellIs" dxfId="8145" priority="11756" operator="between">
      <formula>"SAFRA"</formula>
      <formula>"SAFRA"</formula>
    </cfRule>
    <cfRule type="cellIs" dxfId="8144" priority="11757" operator="between">
      <formula>"SAFRA"</formula>
      <formula>"SAFRA"</formula>
    </cfRule>
    <cfRule type="cellIs" dxfId="8143" priority="11758" operator="between">
      <formula>"DAYCOVAL"</formula>
      <formula>"DAYCOVAL"</formula>
    </cfRule>
    <cfRule type="cellIs" dxfId="8142" priority="11759" operator="between">
      <formula>"ITAÚ FILIAL"</formula>
      <formula>"ITAÚ FILIAL"</formula>
    </cfRule>
    <cfRule type="cellIs" dxfId="8141" priority="11760" operator="between">
      <formula>"ITAÚ FILIAL"</formula>
      <formula>"ITAÚ FILIAL"</formula>
    </cfRule>
    <cfRule type="cellIs" dxfId="8140" priority="11761" operator="equal">
      <formula>"ITAÚ"</formula>
    </cfRule>
    <cfRule type="cellIs" dxfId="8139" priority="11762" operator="equal">
      <formula>"ITAÚ MATRIZ"</formula>
    </cfRule>
    <cfRule type="cellIs" dxfId="8138" priority="11763" operator="between">
      <formula>"ITAÚ MATRIZ"</formula>
      <formula>"ITAÚ MATRIZ"</formula>
    </cfRule>
    <cfRule type="cellIs" dxfId="8137" priority="11764" operator="equal">
      <formula>"ITAÚ"</formula>
    </cfRule>
    <cfRule type="cellIs" dxfId="8136" priority="11765" operator="equal">
      <formula>"ITAÚ MATRIZ"</formula>
    </cfRule>
    <cfRule type="cellIs" dxfId="8135" priority="11766" operator="between">
      <formula>"SAFRA"</formula>
      <formula>"SAFRA"</formula>
    </cfRule>
    <cfRule type="cellIs" dxfId="8134" priority="11767" operator="between">
      <formula>"SAFRA"</formula>
      <formula>"SAFRA"</formula>
    </cfRule>
    <cfRule type="cellIs" dxfId="8133" priority="11768" operator="between">
      <formula>"DAYCOVAL"</formula>
      <formula>"DAYCOVAL"</formula>
    </cfRule>
    <cfRule type="cellIs" dxfId="8132" priority="11769" operator="between">
      <formula>"ITAÚ FILIAL"</formula>
      <formula>"ITAÚ FILIAL"</formula>
    </cfRule>
    <cfRule type="cellIs" dxfId="8131" priority="11770" operator="between">
      <formula>"ITAÚ FILIAL"</formula>
      <formula>"ITAÚ FILIAL"</formula>
    </cfRule>
    <cfRule type="cellIs" dxfId="8130" priority="11771" operator="between">
      <formula>"ITAÚ MATRIZ"</formula>
      <formula>"ITAÚ MATRIZ"</formula>
    </cfRule>
    <cfRule type="cellIs" dxfId="8129" priority="11772" operator="equal">
      <formula>"ITAÚ"</formula>
    </cfRule>
    <cfRule type="cellIs" dxfId="8128" priority="11773" operator="equal">
      <formula>"ITAÚ"</formula>
    </cfRule>
    <cfRule type="cellIs" dxfId="8127" priority="11774" operator="between">
      <formula>"SAFRA"</formula>
      <formula>"SAFRA"</formula>
    </cfRule>
    <cfRule type="cellIs" dxfId="8126" priority="11775" operator="between">
      <formula>"SAFRA"</formula>
      <formula>"SAFRA"</formula>
    </cfRule>
    <cfRule type="cellIs" dxfId="8125" priority="11776" operator="between">
      <formula>"DAYCOVAL"</formula>
      <formula>"DAYCOVAL"</formula>
    </cfRule>
    <cfRule type="cellIs" dxfId="8124" priority="11777" operator="between">
      <formula>"ITAÚ FILIAL"</formula>
      <formula>"ITAÚ FILIAL"</formula>
    </cfRule>
    <cfRule type="cellIs" dxfId="8123" priority="11778" operator="between">
      <formula>"ITAÚ FILIAL"</formula>
      <formula>"ITAÚ FILIAL"</formula>
    </cfRule>
    <cfRule type="cellIs" dxfId="8122" priority="11779" operator="equal">
      <formula>"ITAÚ"</formula>
    </cfRule>
    <cfRule type="cellIs" dxfId="8121" priority="11780" operator="equal">
      <formula>"ITAÚ MATRIZ"</formula>
    </cfRule>
    <cfRule type="cellIs" dxfId="8120" priority="11781" operator="between">
      <formula>"ITAÚ MATRIZ"</formula>
      <formula>"ITAÚ MATRIZ"</formula>
    </cfRule>
    <cfRule type="cellIs" dxfId="8119" priority="11782" operator="equal">
      <formula>"ITAÚ"</formula>
    </cfRule>
    <cfRule type="cellIs" dxfId="8118" priority="11783" operator="equal">
      <formula>"ITAÚ MATRIZ"</formula>
    </cfRule>
    <cfRule type="cellIs" dxfId="8117" priority="11784" operator="between">
      <formula>"SAFRA"</formula>
      <formula>"SAFRA"</formula>
    </cfRule>
    <cfRule type="cellIs" dxfId="8116" priority="11785" operator="between">
      <formula>"SAFRA"</formula>
      <formula>"SAFRA"</formula>
    </cfRule>
    <cfRule type="cellIs" dxfId="8115" priority="11786" operator="between">
      <formula>"DAYCOVAL"</formula>
      <formula>"DAYCOVAL"</formula>
    </cfRule>
    <cfRule type="cellIs" dxfId="8114" priority="11787" operator="between">
      <formula>"ITAÚ FILIAL"</formula>
      <formula>"ITAÚ FILIAL"</formula>
    </cfRule>
    <cfRule type="cellIs" dxfId="8113" priority="11788" operator="between">
      <formula>"ITAÚ FILIAL"</formula>
      <formula>"ITAÚ FILIAL"</formula>
    </cfRule>
    <cfRule type="cellIs" dxfId="8112" priority="11789" operator="between">
      <formula>"ITAÚ MATRIZ"</formula>
      <formula>"ITAÚ MATRIZ"</formula>
    </cfRule>
    <cfRule type="cellIs" dxfId="8111" priority="11790" operator="equal">
      <formula>"ITAÚ"</formula>
    </cfRule>
    <cfRule type="cellIs" dxfId="8110" priority="11707" operator="equal">
      <formula>"ITAÚ"</formula>
    </cfRule>
  </conditionalFormatting>
  <conditionalFormatting sqref="I23:I24">
    <cfRule type="cellIs" dxfId="8109" priority="11580" operator="between">
      <formula>"SAFRA"</formula>
      <formula>"SAFRA"</formula>
    </cfRule>
    <cfRule type="cellIs" dxfId="8108" priority="11581" operator="between">
      <formula>"SAFRA"</formula>
      <formula>"SAFRA"</formula>
    </cfRule>
    <cfRule type="cellIs" dxfId="8107" priority="11582" operator="between">
      <formula>"DAYCOVAL"</formula>
      <formula>"DAYCOVAL"</formula>
    </cfRule>
    <cfRule type="cellIs" dxfId="8106" priority="11583" operator="between">
      <formula>"ITAÚ FILIAL"</formula>
      <formula>"ITAÚ FILIAL"</formula>
    </cfRule>
    <cfRule type="cellIs" dxfId="8105" priority="11584" operator="between">
      <formula>"ITAÚ FILIAL"</formula>
      <formula>"ITAÚ FILIAL"</formula>
    </cfRule>
    <cfRule type="cellIs" dxfId="8104" priority="11585" operator="equal">
      <formula>"ITAÚ"</formula>
    </cfRule>
    <cfRule type="cellIs" dxfId="8103" priority="11586" operator="equal">
      <formula>"ITAÚ MATRIZ"</formula>
    </cfRule>
    <cfRule type="cellIs" dxfId="8102" priority="11587" operator="between">
      <formula>"ITAÚ MATRIZ"</formula>
      <formula>"ITAÚ MATRIZ"</formula>
    </cfRule>
    <cfRule type="cellIs" dxfId="8101" priority="11588" operator="equal">
      <formula>"ITAÚ"</formula>
    </cfRule>
  </conditionalFormatting>
  <conditionalFormatting sqref="I24">
    <cfRule type="cellIs" dxfId="8100" priority="11414" operator="equal">
      <formula>"ITAÚ"</formula>
    </cfRule>
    <cfRule type="cellIs" dxfId="8099" priority="11403" operator="between">
      <formula>"DAYCOVAL"</formula>
      <formula>"DAYCOVAL"</formula>
    </cfRule>
    <cfRule type="cellIs" dxfId="8098" priority="11408" operator="equal">
      <formula>"ITAÚ"</formula>
    </cfRule>
    <cfRule type="cellIs" dxfId="8097" priority="11407" operator="equal">
      <formula>"ITAÚ"</formula>
    </cfRule>
    <cfRule type="cellIs" dxfId="8096" priority="11406" operator="between">
      <formula>"ITAÚ MATRIZ"</formula>
      <formula>"ITAÚ MATRIZ"</formula>
    </cfRule>
    <cfRule type="cellIs" dxfId="8095" priority="11410" operator="between">
      <formula>"SAFRA"</formula>
      <formula>"SAFRA"</formula>
    </cfRule>
    <cfRule type="cellIs" dxfId="8094" priority="11411" operator="between">
      <formula>"DAYCOVAL"</formula>
      <formula>"DAYCOVAL"</formula>
    </cfRule>
    <cfRule type="cellIs" dxfId="8093" priority="11412" operator="between">
      <formula>"ITAÚ FILIAL"</formula>
      <formula>"ITAÚ FILIAL"</formula>
    </cfRule>
    <cfRule type="cellIs" dxfId="8092" priority="11413" operator="between">
      <formula>"ITAÚ FILIAL"</formula>
      <formula>"ITAÚ FILIAL"</formula>
    </cfRule>
    <cfRule type="cellIs" dxfId="8091" priority="11415" operator="equal">
      <formula>"ITAÚ MATRIZ"</formula>
    </cfRule>
    <cfRule type="cellIs" dxfId="8090" priority="11416" operator="between">
      <formula>"ITAÚ MATRIZ"</formula>
      <formula>"ITAÚ MATRIZ"</formula>
    </cfRule>
    <cfRule type="cellIs" dxfId="8089" priority="11417" operator="equal">
      <formula>"ITAÚ"</formula>
    </cfRule>
    <cfRule type="cellIs" dxfId="8088" priority="11418" operator="equal">
      <formula>"ITAÚ MATRIZ"</formula>
    </cfRule>
    <cfRule type="cellIs" dxfId="8087" priority="11419" operator="between">
      <formula>"SAFRA"</formula>
      <formula>"SAFRA"</formula>
    </cfRule>
    <cfRule type="cellIs" dxfId="8086" priority="11420" operator="between">
      <formula>"SAFRA"</formula>
      <formula>"SAFRA"</formula>
    </cfRule>
    <cfRule type="cellIs" dxfId="8085" priority="11421" operator="between">
      <formula>"DAYCOVAL"</formula>
      <formula>"DAYCOVAL"</formula>
    </cfRule>
    <cfRule type="cellIs" dxfId="8084" priority="11422" operator="between">
      <formula>"ITAÚ FILIAL"</formula>
      <formula>"ITAÚ FILIAL"</formula>
    </cfRule>
    <cfRule type="cellIs" dxfId="8083" priority="11423" operator="between">
      <formula>"ITAÚ FILIAL"</formula>
      <formula>"ITAÚ FILIAL"</formula>
    </cfRule>
    <cfRule type="cellIs" dxfId="8082" priority="11424" operator="between">
      <formula>"ITAÚ MATRIZ"</formula>
      <formula>"ITAÚ MATRIZ"</formula>
    </cfRule>
    <cfRule type="cellIs" dxfId="8081" priority="11425" operator="equal">
      <formula>"ITAÚ"</formula>
    </cfRule>
    <cfRule type="cellIs" dxfId="8080" priority="11426" operator="equal">
      <formula>"ITAÚ"</formula>
    </cfRule>
    <cfRule type="cellIs" dxfId="8079" priority="11427" operator="equal">
      <formula>"ITAÚ MATRIZ"</formula>
    </cfRule>
    <cfRule type="cellIs" dxfId="8078" priority="11428" operator="between">
      <formula>"SAFRA"</formula>
      <formula>"SAFRA"</formula>
    </cfRule>
    <cfRule type="cellIs" dxfId="8077" priority="11429" operator="between">
      <formula>"SAFRA"</formula>
      <formula>"SAFRA"</formula>
    </cfRule>
    <cfRule type="cellIs" dxfId="8076" priority="11430" operator="between">
      <formula>"DAYCOVAL"</formula>
      <formula>"DAYCOVAL"</formula>
    </cfRule>
    <cfRule type="cellIs" dxfId="8075" priority="11431" operator="between">
      <formula>"ITAÚ FILIAL"</formula>
      <formula>"ITAÚ FILIAL"</formula>
    </cfRule>
    <cfRule type="cellIs" dxfId="8074" priority="11432" operator="between">
      <formula>"ITAÚ FILIAL"</formula>
      <formula>"ITAÚ FILIAL"</formula>
    </cfRule>
    <cfRule type="cellIs" dxfId="8073" priority="11433" operator="between">
      <formula>"ITAÚ MATRIZ"</formula>
      <formula>"ITAÚ MATRIZ"</formula>
    </cfRule>
    <cfRule type="cellIs" dxfId="8072" priority="11434" operator="equal">
      <formula>"ITAÚ"</formula>
    </cfRule>
    <cfRule type="cellIs" dxfId="8071" priority="11435" operator="equal">
      <formula>"ITAÚ"</formula>
    </cfRule>
    <cfRule type="cellIs" dxfId="8070" priority="11436" operator="equal">
      <formula>"ITAÚ MATRIZ"</formula>
    </cfRule>
    <cfRule type="cellIs" dxfId="8069" priority="11437" operator="between">
      <formula>"SAFRA"</formula>
      <formula>"SAFRA"</formula>
    </cfRule>
    <cfRule type="cellIs" dxfId="8068" priority="11438" operator="between">
      <formula>"SAFRA"</formula>
      <formula>"SAFRA"</formula>
    </cfRule>
    <cfRule type="cellIs" dxfId="8067" priority="11439" operator="between">
      <formula>"DAYCOVAL"</formula>
      <formula>"DAYCOVAL"</formula>
    </cfRule>
    <cfRule type="cellIs" dxfId="8066" priority="11440" operator="between">
      <formula>"ITAÚ FILIAL"</formula>
      <formula>"ITAÚ FILIAL"</formula>
    </cfRule>
    <cfRule type="cellIs" dxfId="8065" priority="11441" operator="between">
      <formula>"ITAÚ FILIAL"</formula>
      <formula>"ITAÚ FILIAL"</formula>
    </cfRule>
    <cfRule type="cellIs" dxfId="8064" priority="11442" operator="between">
      <formula>"ITAÚ MATRIZ"</formula>
      <formula>"ITAÚ MATRIZ"</formula>
    </cfRule>
    <cfRule type="cellIs" dxfId="8063" priority="11443" operator="equal">
      <formula>"ITAÚ"</formula>
    </cfRule>
    <cfRule type="cellIs" dxfId="8062" priority="11444" operator="equal">
      <formula>"ITAÚ"</formula>
    </cfRule>
    <cfRule type="cellIs" dxfId="8061" priority="11445" operator="equal">
      <formula>"ITAÚ MATRIZ"</formula>
    </cfRule>
    <cfRule type="cellIs" dxfId="8060" priority="11446" operator="between">
      <formula>"SAFRA"</formula>
      <formula>"SAFRA"</formula>
    </cfRule>
    <cfRule type="cellIs" dxfId="8059" priority="11447" operator="between">
      <formula>"SAFRA"</formula>
      <formula>"SAFRA"</formula>
    </cfRule>
    <cfRule type="cellIs" dxfId="8058" priority="11448" operator="between">
      <formula>"DAYCOVAL"</formula>
      <formula>"DAYCOVAL"</formula>
    </cfRule>
    <cfRule type="cellIs" dxfId="8057" priority="11449" operator="between">
      <formula>"ITAÚ FILIAL"</formula>
      <formula>"ITAÚ FILIAL"</formula>
    </cfRule>
    <cfRule type="cellIs" dxfId="8056" priority="11450" operator="between">
      <formula>"ITAÚ FILIAL"</formula>
      <formula>"ITAÚ FILIAL"</formula>
    </cfRule>
    <cfRule type="cellIs" dxfId="8055" priority="11451" operator="between">
      <formula>"ITAÚ MATRIZ"</formula>
      <formula>"ITAÚ MATRIZ"</formula>
    </cfRule>
    <cfRule type="cellIs" dxfId="8054" priority="11452" operator="equal">
      <formula>"ITAÚ"</formula>
    </cfRule>
    <cfRule type="cellIs" dxfId="8053" priority="11453" operator="equal">
      <formula>"ITAÚ"</formula>
    </cfRule>
    <cfRule type="cellIs" dxfId="8052" priority="11454" operator="equal">
      <formula>"ITAÚ MATRIZ"</formula>
    </cfRule>
    <cfRule type="cellIs" dxfId="8051" priority="11455" operator="between">
      <formula>"SAFRA"</formula>
      <formula>"SAFRA"</formula>
    </cfRule>
    <cfRule type="cellIs" dxfId="8050" priority="11456" operator="between">
      <formula>"SAFRA"</formula>
      <formula>"SAFRA"</formula>
    </cfRule>
    <cfRule type="cellIs" dxfId="8049" priority="11457" operator="between">
      <formula>"DAYCOVAL"</formula>
      <formula>"DAYCOVAL"</formula>
    </cfRule>
    <cfRule type="cellIs" dxfId="8048" priority="11458" operator="between">
      <formula>"ITAÚ FILIAL"</formula>
      <formula>"ITAÚ FILIAL"</formula>
    </cfRule>
    <cfRule type="cellIs" dxfId="8047" priority="11459" operator="between">
      <formula>"ITAÚ FILIAL"</formula>
      <formula>"ITAÚ FILIAL"</formula>
    </cfRule>
    <cfRule type="cellIs" dxfId="8046" priority="11460" operator="between">
      <formula>"ITAÚ MATRIZ"</formula>
      <formula>"ITAÚ MATRIZ"</formula>
    </cfRule>
    <cfRule type="cellIs" dxfId="8045" priority="11461" operator="equal">
      <formula>"ITAÚ"</formula>
    </cfRule>
    <cfRule type="cellIs" dxfId="8044" priority="11462" operator="equal">
      <formula>"ITAÚ"</formula>
    </cfRule>
    <cfRule type="cellIs" dxfId="8043" priority="11463" operator="between">
      <formula>"SAFRA"</formula>
      <formula>"SAFRA"</formula>
    </cfRule>
    <cfRule type="cellIs" dxfId="8042" priority="11464" operator="between">
      <formula>"SAFRA"</formula>
      <formula>"SAFRA"</formula>
    </cfRule>
    <cfRule type="cellIs" dxfId="8041" priority="11465" operator="between">
      <formula>"DAYCOVAL"</formula>
      <formula>"DAYCOVAL"</formula>
    </cfRule>
    <cfRule type="cellIs" dxfId="8040" priority="11466" operator="between">
      <formula>"ITAÚ FILIAL"</formula>
      <formula>"ITAÚ FILIAL"</formula>
    </cfRule>
    <cfRule type="cellIs" dxfId="8039" priority="11467" operator="between">
      <formula>"ITAÚ FILIAL"</formula>
      <formula>"ITAÚ FILIAL"</formula>
    </cfRule>
    <cfRule type="cellIs" dxfId="8038" priority="11468" operator="equal">
      <formula>"ITAÚ"</formula>
    </cfRule>
    <cfRule type="cellIs" dxfId="8037" priority="11469" operator="equal">
      <formula>"ITAÚ MATRIZ"</formula>
    </cfRule>
    <cfRule type="cellIs" dxfId="8036" priority="11470" operator="between">
      <formula>"ITAÚ MATRIZ"</formula>
      <formula>"ITAÚ MATRIZ"</formula>
    </cfRule>
    <cfRule type="cellIs" dxfId="8035" priority="11471" operator="equal">
      <formula>"ITAÚ"</formula>
    </cfRule>
    <cfRule type="cellIs" dxfId="8034" priority="11472" operator="equal">
      <formula>"ITAÚ MATRIZ"</formula>
    </cfRule>
    <cfRule type="cellIs" dxfId="8033" priority="11473" operator="between">
      <formula>"SAFRA"</formula>
      <formula>"SAFRA"</formula>
    </cfRule>
    <cfRule type="cellIs" dxfId="8032" priority="11474" operator="between">
      <formula>"SAFRA"</formula>
      <formula>"SAFRA"</formula>
    </cfRule>
    <cfRule type="cellIs" dxfId="8031" priority="11475" operator="between">
      <formula>"DAYCOVAL"</formula>
      <formula>"DAYCOVAL"</formula>
    </cfRule>
    <cfRule type="cellIs" dxfId="8030" priority="11476" operator="between">
      <formula>"ITAÚ FILIAL"</formula>
      <formula>"ITAÚ FILIAL"</formula>
    </cfRule>
    <cfRule type="cellIs" dxfId="8029" priority="11477" operator="between">
      <formula>"ITAÚ FILIAL"</formula>
      <formula>"ITAÚ FILIAL"</formula>
    </cfRule>
    <cfRule type="cellIs" dxfId="8028" priority="11478" operator="between">
      <formula>"ITAÚ MATRIZ"</formula>
      <formula>"ITAÚ MATRIZ"</formula>
    </cfRule>
    <cfRule type="cellIs" dxfId="8027" priority="11479" operator="equal">
      <formula>"ITAÚ"</formula>
    </cfRule>
    <cfRule type="cellIs" dxfId="8026" priority="11480" operator="equal">
      <formula>"ITAÚ"</formula>
    </cfRule>
    <cfRule type="cellIs" dxfId="8025" priority="11481" operator="between">
      <formula>"SAFRA"</formula>
      <formula>"SAFRA"</formula>
    </cfRule>
    <cfRule type="cellIs" dxfId="8024" priority="11482" operator="between">
      <formula>"SAFRA"</formula>
      <formula>"SAFRA"</formula>
    </cfRule>
    <cfRule type="cellIs" dxfId="8023" priority="11483" operator="between">
      <formula>"DAYCOVAL"</formula>
      <formula>"DAYCOVAL"</formula>
    </cfRule>
    <cfRule type="cellIs" dxfId="8022" priority="11484" operator="between">
      <formula>"ITAÚ FILIAL"</formula>
      <formula>"ITAÚ FILIAL"</formula>
    </cfRule>
    <cfRule type="cellIs" dxfId="8021" priority="11485" operator="between">
      <formula>"ITAÚ FILIAL"</formula>
      <formula>"ITAÚ FILIAL"</formula>
    </cfRule>
    <cfRule type="cellIs" dxfId="8020" priority="11486" operator="equal">
      <formula>"ITAÚ"</formula>
    </cfRule>
    <cfRule type="cellIs" dxfId="8019" priority="11487" operator="equal">
      <formula>"ITAÚ MATRIZ"</formula>
    </cfRule>
    <cfRule type="cellIs" dxfId="8018" priority="11488" operator="between">
      <formula>"ITAÚ MATRIZ"</formula>
      <formula>"ITAÚ MATRIZ"</formula>
    </cfRule>
    <cfRule type="cellIs" dxfId="8017" priority="11489" operator="equal">
      <formula>"ITAÚ"</formula>
    </cfRule>
    <cfRule type="cellIs" dxfId="8016" priority="11490" operator="equal">
      <formula>"ITAÚ MATRIZ"</formula>
    </cfRule>
    <cfRule type="cellIs" dxfId="8015" priority="11491" operator="between">
      <formula>"SAFRA"</formula>
      <formula>"SAFRA"</formula>
    </cfRule>
    <cfRule type="cellIs" dxfId="8014" priority="11492" operator="between">
      <formula>"SAFRA"</formula>
      <formula>"SAFRA"</formula>
    </cfRule>
    <cfRule type="cellIs" dxfId="8013" priority="11493" operator="between">
      <formula>"DAYCOVAL"</formula>
      <formula>"DAYCOVAL"</formula>
    </cfRule>
    <cfRule type="cellIs" dxfId="8012" priority="11494" operator="between">
      <formula>"ITAÚ FILIAL"</formula>
      <formula>"ITAÚ FILIAL"</formula>
    </cfRule>
    <cfRule type="cellIs" dxfId="8011" priority="11495" operator="between">
      <formula>"ITAÚ FILIAL"</formula>
      <formula>"ITAÚ FILIAL"</formula>
    </cfRule>
    <cfRule type="cellIs" dxfId="8010" priority="11409" operator="between">
      <formula>"SAFRA"</formula>
      <formula>"SAFRA"</formula>
    </cfRule>
    <cfRule type="cellIs" dxfId="8009" priority="11497" operator="equal">
      <formula>"ITAÚ"</formula>
    </cfRule>
    <cfRule type="cellIs" dxfId="8008" priority="11498" operator="equal">
      <formula>"ITAÚ"</formula>
    </cfRule>
    <cfRule type="cellIs" dxfId="8007" priority="11499" operator="equal">
      <formula>"ITAÚ MATRIZ"</formula>
    </cfRule>
    <cfRule type="cellIs" dxfId="8006" priority="11500" operator="between">
      <formula>"SAFRA"</formula>
      <formula>"SAFRA"</formula>
    </cfRule>
    <cfRule type="cellIs" dxfId="8005" priority="11501" operator="between">
      <formula>"SAFRA"</formula>
      <formula>"SAFRA"</formula>
    </cfRule>
    <cfRule type="cellIs" dxfId="8004" priority="11502" operator="between">
      <formula>"DAYCOVAL"</formula>
      <formula>"DAYCOVAL"</formula>
    </cfRule>
    <cfRule type="cellIs" dxfId="8003" priority="11503" operator="between">
      <formula>"ITAÚ FILIAL"</formula>
      <formula>"ITAÚ FILIAL"</formula>
    </cfRule>
    <cfRule type="cellIs" dxfId="8002" priority="11504" operator="between">
      <formula>"ITAÚ FILIAL"</formula>
      <formula>"ITAÚ FILIAL"</formula>
    </cfRule>
    <cfRule type="cellIs" dxfId="8001" priority="11505" operator="between">
      <formula>"ITAÚ MATRIZ"</formula>
      <formula>"ITAÚ MATRIZ"</formula>
    </cfRule>
    <cfRule type="cellIs" dxfId="8000" priority="11506" operator="equal">
      <formula>"ITAÚ"</formula>
    </cfRule>
    <cfRule type="cellIs" dxfId="7999" priority="11507" operator="equal">
      <formula>"ITAÚ"</formula>
    </cfRule>
    <cfRule type="cellIs" dxfId="7998" priority="11508" operator="equal">
      <formula>"ITAÚ MATRIZ"</formula>
    </cfRule>
    <cfRule type="cellIs" dxfId="7997" priority="11509" operator="between">
      <formula>"SAFRA"</formula>
      <formula>"SAFRA"</formula>
    </cfRule>
    <cfRule type="cellIs" dxfId="7996" priority="11510" operator="between">
      <formula>"SAFRA"</formula>
      <formula>"SAFRA"</formula>
    </cfRule>
    <cfRule type="cellIs" dxfId="7995" priority="11511" operator="between">
      <formula>"DAYCOVAL"</formula>
      <formula>"DAYCOVAL"</formula>
    </cfRule>
    <cfRule type="cellIs" dxfId="7994" priority="11512" operator="between">
      <formula>"ITAÚ FILIAL"</formula>
      <formula>"ITAÚ FILIAL"</formula>
    </cfRule>
    <cfRule type="cellIs" dxfId="7993" priority="11513" operator="between">
      <formula>"ITAÚ FILIAL"</formula>
      <formula>"ITAÚ FILIAL"</formula>
    </cfRule>
    <cfRule type="cellIs" dxfId="7992" priority="11514" operator="between">
      <formula>"ITAÚ MATRIZ"</formula>
      <formula>"ITAÚ MATRIZ"</formula>
    </cfRule>
    <cfRule type="cellIs" dxfId="7991" priority="11515" operator="equal">
      <formula>"ITAÚ"</formula>
    </cfRule>
    <cfRule type="cellIs" dxfId="7990" priority="11516" operator="equal">
      <formula>"ITAÚ"</formula>
    </cfRule>
    <cfRule type="cellIs" dxfId="7989" priority="11517" operator="equal">
      <formula>"ITAÚ MATRIZ"</formula>
    </cfRule>
    <cfRule type="cellIs" dxfId="7988" priority="11518" operator="between">
      <formula>"SAFRA"</formula>
      <formula>"SAFRA"</formula>
    </cfRule>
    <cfRule type="cellIs" dxfId="7987" priority="11519" operator="between">
      <formula>"SAFRA"</formula>
      <formula>"SAFRA"</formula>
    </cfRule>
    <cfRule type="cellIs" dxfId="7986" priority="11520" operator="between">
      <formula>"DAYCOVAL"</formula>
      <formula>"DAYCOVAL"</formula>
    </cfRule>
    <cfRule type="cellIs" dxfId="7985" priority="11521" operator="between">
      <formula>"ITAÚ FILIAL"</formula>
      <formula>"ITAÚ FILIAL"</formula>
    </cfRule>
    <cfRule type="cellIs" dxfId="7984" priority="11522" operator="between">
      <formula>"ITAÚ FILIAL"</formula>
      <formula>"ITAÚ FILIAL"</formula>
    </cfRule>
    <cfRule type="cellIs" dxfId="7983" priority="11523" operator="between">
      <formula>"ITAÚ MATRIZ"</formula>
      <formula>"ITAÚ MATRIZ"</formula>
    </cfRule>
    <cfRule type="cellIs" dxfId="7982" priority="11524" operator="equal">
      <formula>"ITAÚ"</formula>
    </cfRule>
    <cfRule type="cellIs" dxfId="7981" priority="11525" operator="equal">
      <formula>"ITAÚ"</formula>
    </cfRule>
    <cfRule type="cellIs" dxfId="7980" priority="11526" operator="equal">
      <formula>"ITAÚ MATRIZ"</formula>
    </cfRule>
    <cfRule type="cellIs" dxfId="7979" priority="11527" operator="between">
      <formula>"SAFRA"</formula>
      <formula>"SAFRA"</formula>
    </cfRule>
    <cfRule type="cellIs" dxfId="7978" priority="11528" operator="between">
      <formula>"SAFRA"</formula>
      <formula>"SAFRA"</formula>
    </cfRule>
    <cfRule type="cellIs" dxfId="7977" priority="11529" operator="between">
      <formula>"DAYCOVAL"</formula>
      <formula>"DAYCOVAL"</formula>
    </cfRule>
    <cfRule type="cellIs" dxfId="7976" priority="11530" operator="between">
      <formula>"ITAÚ FILIAL"</formula>
      <formula>"ITAÚ FILIAL"</formula>
    </cfRule>
    <cfRule type="cellIs" dxfId="7975" priority="11531" operator="between">
      <formula>"ITAÚ FILIAL"</formula>
      <formula>"ITAÚ FILIAL"</formula>
    </cfRule>
    <cfRule type="cellIs" dxfId="7974" priority="11532" operator="between">
      <formula>"ITAÚ MATRIZ"</formula>
      <formula>"ITAÚ MATRIZ"</formula>
    </cfRule>
    <cfRule type="cellIs" dxfId="7973" priority="11533" operator="equal">
      <formula>"ITAÚ"</formula>
    </cfRule>
    <cfRule type="cellIs" dxfId="7972" priority="11534" operator="equal">
      <formula>"ITAÚ"</formula>
    </cfRule>
    <cfRule type="cellIs" dxfId="7971" priority="11535" operator="between">
      <formula>"SAFRA"</formula>
      <formula>"SAFRA"</formula>
    </cfRule>
    <cfRule type="cellIs" dxfId="7970" priority="11536" operator="between">
      <formula>"SAFRA"</formula>
      <formula>"SAFRA"</formula>
    </cfRule>
    <cfRule type="cellIs" dxfId="7969" priority="11537" operator="between">
      <formula>"DAYCOVAL"</formula>
      <formula>"DAYCOVAL"</formula>
    </cfRule>
    <cfRule type="cellIs" dxfId="7968" priority="11538" operator="between">
      <formula>"ITAÚ FILIAL"</formula>
      <formula>"ITAÚ FILIAL"</formula>
    </cfRule>
    <cfRule type="cellIs" dxfId="7967" priority="11539" operator="between">
      <formula>"ITAÚ FILIAL"</formula>
      <formula>"ITAÚ FILIAL"</formula>
    </cfRule>
    <cfRule type="cellIs" dxfId="7966" priority="11540" operator="equal">
      <formula>"ITAÚ"</formula>
    </cfRule>
    <cfRule type="cellIs" dxfId="7965" priority="11541" operator="equal">
      <formula>"ITAÚ MATRIZ"</formula>
    </cfRule>
    <cfRule type="cellIs" dxfId="7964" priority="11542" operator="between">
      <formula>"ITAÚ MATRIZ"</formula>
      <formula>"ITAÚ MATRIZ"</formula>
    </cfRule>
    <cfRule type="cellIs" dxfId="7963" priority="11543" operator="equal">
      <formula>"ITAÚ"</formula>
    </cfRule>
    <cfRule type="cellIs" dxfId="7962" priority="11544" operator="equal">
      <formula>"ITAÚ MATRIZ"</formula>
    </cfRule>
    <cfRule type="cellIs" dxfId="7961" priority="11545" operator="between">
      <formula>"SAFRA"</formula>
      <formula>"SAFRA"</formula>
    </cfRule>
    <cfRule type="cellIs" dxfId="7960" priority="11546" operator="between">
      <formula>"SAFRA"</formula>
      <formula>"SAFRA"</formula>
    </cfRule>
    <cfRule type="cellIs" dxfId="7959" priority="11547" operator="between">
      <formula>"DAYCOVAL"</formula>
      <formula>"DAYCOVAL"</formula>
    </cfRule>
    <cfRule type="cellIs" dxfId="7958" priority="11548" operator="between">
      <formula>"ITAÚ FILIAL"</formula>
      <formula>"ITAÚ FILIAL"</formula>
    </cfRule>
    <cfRule type="cellIs" dxfId="7957" priority="11549" operator="between">
      <formula>"ITAÚ FILIAL"</formula>
      <formula>"ITAÚ FILIAL"</formula>
    </cfRule>
    <cfRule type="cellIs" dxfId="7956" priority="11550" operator="between">
      <formula>"ITAÚ MATRIZ"</formula>
      <formula>"ITAÚ MATRIZ"</formula>
    </cfRule>
    <cfRule type="cellIs" dxfId="7955" priority="11551" operator="equal">
      <formula>"ITAÚ"</formula>
    </cfRule>
    <cfRule type="cellIs" dxfId="7954" priority="11552" operator="equal">
      <formula>"ITAÚ"</formula>
    </cfRule>
    <cfRule type="cellIs" dxfId="7953" priority="11553" operator="between">
      <formula>"SAFRA"</formula>
      <formula>"SAFRA"</formula>
    </cfRule>
    <cfRule type="cellIs" dxfId="7952" priority="11554" operator="between">
      <formula>"SAFRA"</formula>
      <formula>"SAFRA"</formula>
    </cfRule>
    <cfRule type="cellIs" dxfId="7951" priority="11555" operator="between">
      <formula>"DAYCOVAL"</formula>
      <formula>"DAYCOVAL"</formula>
    </cfRule>
    <cfRule type="cellIs" dxfId="7950" priority="11556" operator="between">
      <formula>"ITAÚ FILIAL"</formula>
      <formula>"ITAÚ FILIAL"</formula>
    </cfRule>
    <cfRule type="cellIs" dxfId="7949" priority="11557" operator="between">
      <formula>"ITAÚ FILIAL"</formula>
      <formula>"ITAÚ FILIAL"</formula>
    </cfRule>
    <cfRule type="cellIs" dxfId="7948" priority="11558" operator="equal">
      <formula>"ITAÚ"</formula>
    </cfRule>
    <cfRule type="cellIs" dxfId="7947" priority="11559" operator="equal">
      <formula>"ITAÚ MATRIZ"</formula>
    </cfRule>
    <cfRule type="cellIs" dxfId="7946" priority="11560" operator="between">
      <formula>"ITAÚ MATRIZ"</formula>
      <formula>"ITAÚ MATRIZ"</formula>
    </cfRule>
    <cfRule type="cellIs" dxfId="7945" priority="11561" operator="equal">
      <formula>"ITAÚ"</formula>
    </cfRule>
    <cfRule type="cellIs" dxfId="7944" priority="11562" operator="equal">
      <formula>"ITAÚ MATRIZ"</formula>
    </cfRule>
    <cfRule type="cellIs" dxfId="7943" priority="11563" operator="between">
      <formula>"SAFRA"</formula>
      <formula>"SAFRA"</formula>
    </cfRule>
    <cfRule type="cellIs" dxfId="7942" priority="11564" operator="between">
      <formula>"SAFRA"</formula>
      <formula>"SAFRA"</formula>
    </cfRule>
    <cfRule type="cellIs" dxfId="7941" priority="11565" operator="between">
      <formula>"DAYCOVAL"</formula>
      <formula>"DAYCOVAL"</formula>
    </cfRule>
    <cfRule type="cellIs" dxfId="7940" priority="11566" operator="between">
      <formula>"ITAÚ FILIAL"</formula>
      <formula>"ITAÚ FILIAL"</formula>
    </cfRule>
    <cfRule type="cellIs" dxfId="7939" priority="11567" operator="between">
      <formula>"ITAÚ FILIAL"</formula>
      <formula>"ITAÚ FILIAL"</formula>
    </cfRule>
    <cfRule type="cellIs" dxfId="7938" priority="11568" operator="between">
      <formula>"ITAÚ MATRIZ"</formula>
      <formula>"ITAÚ MATRIZ"</formula>
    </cfRule>
    <cfRule type="cellIs" dxfId="7937" priority="11569" operator="equal">
      <formula>"ITAÚ"</formula>
    </cfRule>
    <cfRule type="cellIs" dxfId="7936" priority="11570" operator="equal">
      <formula>"ITAÚ"</formula>
    </cfRule>
    <cfRule type="cellIs" dxfId="7935" priority="11571" operator="between">
      <formula>"SAFRA"</formula>
      <formula>"SAFRA"</formula>
    </cfRule>
    <cfRule type="cellIs" dxfId="7934" priority="11572" operator="between">
      <formula>"SAFRA"</formula>
      <formula>"SAFRA"</formula>
    </cfRule>
    <cfRule type="cellIs" dxfId="7933" priority="11573" operator="between">
      <formula>"DAYCOVAL"</formula>
      <formula>"DAYCOVAL"</formula>
    </cfRule>
    <cfRule type="cellIs" dxfId="7932" priority="11574" operator="between">
      <formula>"ITAÚ FILIAL"</formula>
      <formula>"ITAÚ FILIAL"</formula>
    </cfRule>
    <cfRule type="cellIs" dxfId="7931" priority="11575" operator="between">
      <formula>"ITAÚ FILIAL"</formula>
      <formula>"ITAÚ FILIAL"</formula>
    </cfRule>
    <cfRule type="cellIs" dxfId="7930" priority="11576" operator="equal">
      <formula>"ITAÚ"</formula>
    </cfRule>
    <cfRule type="cellIs" dxfId="7929" priority="11577" operator="equal">
      <formula>"ITAÚ MATRIZ"</formula>
    </cfRule>
    <cfRule type="cellIs" dxfId="7928" priority="11578" operator="between">
      <formula>"ITAÚ MATRIZ"</formula>
      <formula>"ITAÚ MATRIZ"</formula>
    </cfRule>
    <cfRule type="cellIs" dxfId="7927" priority="11579" operator="equal">
      <formula>"ITAÚ"</formula>
    </cfRule>
    <cfRule type="cellIs" dxfId="7926" priority="11400" operator="equal">
      <formula>"ITAÚ MATRIZ"</formula>
    </cfRule>
    <cfRule type="cellIs" dxfId="7925" priority="11401" operator="between">
      <formula>"SAFRA"</formula>
      <formula>"SAFRA"</formula>
    </cfRule>
    <cfRule type="cellIs" dxfId="7924" priority="11402" operator="between">
      <formula>"SAFRA"</formula>
      <formula>"SAFRA"</formula>
    </cfRule>
    <cfRule type="cellIs" dxfId="7923" priority="11405" operator="between">
      <formula>"ITAÚ FILIAL"</formula>
      <formula>"ITAÚ FILIAL"</formula>
    </cfRule>
    <cfRule type="cellIs" dxfId="7922" priority="11404" operator="between">
      <formula>"ITAÚ FILIAL"</formula>
      <formula>"ITAÚ FILIAL"</formula>
    </cfRule>
    <cfRule type="cellIs" dxfId="7921" priority="11496" operator="between">
      <formula>"ITAÚ MATRIZ"</formula>
      <formula>"ITAÚ MATRIZ"</formula>
    </cfRule>
  </conditionalFormatting>
  <conditionalFormatting sqref="I24:I25">
    <cfRule type="cellIs" dxfId="7920" priority="11360" operator="between">
      <formula>"SAFRA"</formula>
      <formula>"SAFRA"</formula>
    </cfRule>
    <cfRule type="cellIs" dxfId="7919" priority="11367" operator="equal">
      <formula>"ITAÚ"</formula>
    </cfRule>
    <cfRule type="cellIs" dxfId="7918" priority="11359" operator="between">
      <formula>"SAFRA"</formula>
      <formula>"SAFRA"</formula>
    </cfRule>
    <cfRule type="cellIs" dxfId="7917" priority="11366" operator="between">
      <formula>"ITAÚ MATRIZ"</formula>
      <formula>"ITAÚ MATRIZ"</formula>
    </cfRule>
    <cfRule type="cellIs" dxfId="7916" priority="11361" operator="between">
      <formula>"DAYCOVAL"</formula>
      <formula>"DAYCOVAL"</formula>
    </cfRule>
    <cfRule type="cellIs" dxfId="7915" priority="11362" operator="between">
      <formula>"ITAÚ FILIAL"</formula>
      <formula>"ITAÚ FILIAL"</formula>
    </cfRule>
    <cfRule type="cellIs" dxfId="7914" priority="11363" operator="between">
      <formula>"ITAÚ FILIAL"</formula>
      <formula>"ITAÚ FILIAL"</formula>
    </cfRule>
    <cfRule type="cellIs" dxfId="7913" priority="11364" operator="equal">
      <formula>"ITAÚ"</formula>
    </cfRule>
    <cfRule type="cellIs" dxfId="7912" priority="11365" operator="equal">
      <formula>"ITAÚ MATRIZ"</formula>
    </cfRule>
  </conditionalFormatting>
  <conditionalFormatting sqref="I25">
    <cfRule type="cellIs" dxfId="7911" priority="11174" operator="between">
      <formula>"ITAÚ FILIAL"</formula>
      <formula>"ITAÚ FILIAL"</formula>
    </cfRule>
    <cfRule type="cellIs" dxfId="7910" priority="11175" operator="between">
      <formula>"ITAÚ FILIAL"</formula>
      <formula>"ITAÚ FILIAL"</formula>
    </cfRule>
    <cfRule type="cellIs" dxfId="7909" priority="10967" operator="equal">
      <formula>"ITAÚ"</formula>
    </cfRule>
    <cfRule type="cellIs" dxfId="7908" priority="10968" operator="equal">
      <formula>"ITAÚ"</formula>
    </cfRule>
    <cfRule type="cellIs" dxfId="7907" priority="10969" operator="between">
      <formula>"SAFRA"</formula>
      <formula>"SAFRA"</formula>
    </cfRule>
    <cfRule type="cellIs" dxfId="7906" priority="10970" operator="between">
      <formula>"SAFRA"</formula>
      <formula>"SAFRA"</formula>
    </cfRule>
    <cfRule type="cellIs" dxfId="7905" priority="10971" operator="between">
      <formula>"DAYCOVAL"</formula>
      <formula>"DAYCOVAL"</formula>
    </cfRule>
    <cfRule type="cellIs" dxfId="7904" priority="10972" operator="between">
      <formula>"ITAÚ FILIAL"</formula>
      <formula>"ITAÚ FILIAL"</formula>
    </cfRule>
    <cfRule type="cellIs" dxfId="7903" priority="10973" operator="between">
      <formula>"ITAÚ FILIAL"</formula>
      <formula>"ITAÚ FILIAL"</formula>
    </cfRule>
    <cfRule type="cellIs" dxfId="7902" priority="10974" operator="equal">
      <formula>"ITAÚ"</formula>
    </cfRule>
    <cfRule type="cellIs" dxfId="7901" priority="10975" operator="equal">
      <formula>"ITAÚ MATRIZ"</formula>
    </cfRule>
    <cfRule type="cellIs" dxfId="7900" priority="10976" operator="between">
      <formula>"ITAÚ MATRIZ"</formula>
      <formula>"ITAÚ MATRIZ"</formula>
    </cfRule>
    <cfRule type="cellIs" dxfId="7899" priority="10977" operator="equal">
      <formula>"ITAÚ"</formula>
    </cfRule>
    <cfRule type="cellIs" dxfId="7898" priority="10978" operator="equal">
      <formula>"ITAÚ MATRIZ"</formula>
    </cfRule>
    <cfRule type="cellIs" dxfId="7897" priority="10979" operator="between">
      <formula>"SAFRA"</formula>
      <formula>"SAFRA"</formula>
    </cfRule>
    <cfRule type="cellIs" dxfId="7896" priority="10980" operator="between">
      <formula>"SAFRA"</formula>
      <formula>"SAFRA"</formula>
    </cfRule>
    <cfRule type="cellIs" dxfId="7895" priority="10981" operator="between">
      <formula>"DAYCOVAL"</formula>
      <formula>"DAYCOVAL"</formula>
    </cfRule>
    <cfRule type="cellIs" dxfId="7894" priority="10982" operator="between">
      <formula>"ITAÚ FILIAL"</formula>
      <formula>"ITAÚ FILIAL"</formula>
    </cfRule>
    <cfRule type="cellIs" dxfId="7893" priority="10983" operator="between">
      <formula>"ITAÚ FILIAL"</formula>
      <formula>"ITAÚ FILIAL"</formula>
    </cfRule>
    <cfRule type="cellIs" dxfId="7892" priority="10984" operator="between">
      <formula>"ITAÚ MATRIZ"</formula>
      <formula>"ITAÚ MATRIZ"</formula>
    </cfRule>
    <cfRule type="cellIs" dxfId="7891" priority="10985" operator="equal">
      <formula>"ITAÚ"</formula>
    </cfRule>
    <cfRule type="cellIs" dxfId="7890" priority="10986" operator="equal">
      <formula>"ITAÚ"</formula>
    </cfRule>
    <cfRule type="cellIs" dxfId="7889" priority="10987" operator="equal">
      <formula>"ITAÚ MATRIZ"</formula>
    </cfRule>
    <cfRule type="cellIs" dxfId="7888" priority="10988" operator="between">
      <formula>"SAFRA"</formula>
      <formula>"SAFRA"</formula>
    </cfRule>
    <cfRule type="cellIs" dxfId="7887" priority="10989" operator="between">
      <formula>"SAFRA"</formula>
      <formula>"SAFRA"</formula>
    </cfRule>
    <cfRule type="cellIs" dxfId="7886" priority="10990" operator="between">
      <formula>"DAYCOVAL"</formula>
      <formula>"DAYCOVAL"</formula>
    </cfRule>
    <cfRule type="cellIs" dxfId="7885" priority="10991" operator="between">
      <formula>"ITAÚ FILIAL"</formula>
      <formula>"ITAÚ FILIAL"</formula>
    </cfRule>
    <cfRule type="cellIs" dxfId="7884" priority="10992" operator="between">
      <formula>"ITAÚ FILIAL"</formula>
      <formula>"ITAÚ FILIAL"</formula>
    </cfRule>
    <cfRule type="cellIs" dxfId="7883" priority="10993" operator="between">
      <formula>"ITAÚ MATRIZ"</formula>
      <formula>"ITAÚ MATRIZ"</formula>
    </cfRule>
    <cfRule type="cellIs" dxfId="7882" priority="10994" operator="equal">
      <formula>"ITAÚ"</formula>
    </cfRule>
    <cfRule type="cellIs" dxfId="7881" priority="10995" operator="equal">
      <formula>"ITAÚ"</formula>
    </cfRule>
    <cfRule type="cellIs" dxfId="7880" priority="10996" operator="equal">
      <formula>"ITAÚ MATRIZ"</formula>
    </cfRule>
    <cfRule type="cellIs" dxfId="7879" priority="10997" operator="between">
      <formula>"SAFRA"</formula>
      <formula>"SAFRA"</formula>
    </cfRule>
    <cfRule type="cellIs" dxfId="7878" priority="10998" operator="between">
      <formula>"SAFRA"</formula>
      <formula>"SAFRA"</formula>
    </cfRule>
    <cfRule type="cellIs" dxfId="7877" priority="10999" operator="between">
      <formula>"DAYCOVAL"</formula>
      <formula>"DAYCOVAL"</formula>
    </cfRule>
    <cfRule type="cellIs" dxfId="7876" priority="11000" operator="between">
      <formula>"ITAÚ FILIAL"</formula>
      <formula>"ITAÚ FILIAL"</formula>
    </cfRule>
    <cfRule type="cellIs" dxfId="7875" priority="11001" operator="between">
      <formula>"ITAÚ FILIAL"</formula>
      <formula>"ITAÚ FILIAL"</formula>
    </cfRule>
    <cfRule type="cellIs" dxfId="7874" priority="11002" operator="between">
      <formula>"ITAÚ MATRIZ"</formula>
      <formula>"ITAÚ MATRIZ"</formula>
    </cfRule>
    <cfRule type="cellIs" dxfId="7873" priority="11003" operator="equal">
      <formula>"ITAÚ"</formula>
    </cfRule>
    <cfRule type="cellIs" dxfId="7872" priority="11004" operator="equal">
      <formula>"ITAÚ"</formula>
    </cfRule>
    <cfRule type="cellIs" dxfId="7871" priority="11005" operator="equal">
      <formula>"ITAÚ MATRIZ"</formula>
    </cfRule>
    <cfRule type="cellIs" dxfId="7870" priority="11006" operator="between">
      <formula>"SAFRA"</formula>
      <formula>"SAFRA"</formula>
    </cfRule>
    <cfRule type="cellIs" dxfId="7869" priority="11007" operator="between">
      <formula>"SAFRA"</formula>
      <formula>"SAFRA"</formula>
    </cfRule>
    <cfRule type="cellIs" dxfId="7868" priority="11008" operator="between">
      <formula>"DAYCOVAL"</formula>
      <formula>"DAYCOVAL"</formula>
    </cfRule>
    <cfRule type="cellIs" dxfId="7867" priority="11009" operator="between">
      <formula>"ITAÚ FILIAL"</formula>
      <formula>"ITAÚ FILIAL"</formula>
    </cfRule>
    <cfRule type="cellIs" dxfId="7866" priority="11010" operator="between">
      <formula>"ITAÚ FILIAL"</formula>
      <formula>"ITAÚ FILIAL"</formula>
    </cfRule>
    <cfRule type="cellIs" dxfId="7865" priority="11011" operator="between">
      <formula>"ITAÚ MATRIZ"</formula>
      <formula>"ITAÚ MATRIZ"</formula>
    </cfRule>
    <cfRule type="cellIs" dxfId="7864" priority="11012" operator="equal">
      <formula>"ITAÚ"</formula>
    </cfRule>
    <cfRule type="cellIs" dxfId="7863" priority="11013" operator="equal">
      <formula>"ITAÚ"</formula>
    </cfRule>
    <cfRule type="cellIs" dxfId="7862" priority="11014" operator="equal">
      <formula>"ITAÚ MATRIZ"</formula>
    </cfRule>
    <cfRule type="cellIs" dxfId="7861" priority="11015" operator="between">
      <formula>"SAFRA"</formula>
      <formula>"SAFRA"</formula>
    </cfRule>
    <cfRule type="cellIs" dxfId="7860" priority="11016" operator="between">
      <formula>"SAFRA"</formula>
      <formula>"SAFRA"</formula>
    </cfRule>
    <cfRule type="cellIs" dxfId="7859" priority="11017" operator="between">
      <formula>"DAYCOVAL"</formula>
      <formula>"DAYCOVAL"</formula>
    </cfRule>
    <cfRule type="cellIs" dxfId="7858" priority="11018" operator="between">
      <formula>"ITAÚ FILIAL"</formula>
      <formula>"ITAÚ FILIAL"</formula>
    </cfRule>
    <cfRule type="cellIs" dxfId="7857" priority="11019" operator="between">
      <formula>"ITAÚ FILIAL"</formula>
      <formula>"ITAÚ FILIAL"</formula>
    </cfRule>
    <cfRule type="cellIs" dxfId="7856" priority="11020" operator="between">
      <formula>"ITAÚ MATRIZ"</formula>
      <formula>"ITAÚ MATRIZ"</formula>
    </cfRule>
    <cfRule type="cellIs" dxfId="7855" priority="11021" operator="equal">
      <formula>"ITAÚ"</formula>
    </cfRule>
    <cfRule type="cellIs" dxfId="7854" priority="11022" operator="equal">
      <formula>"ITAÚ"</formula>
    </cfRule>
    <cfRule type="cellIs" dxfId="7853" priority="11023" operator="between">
      <formula>"SAFRA"</formula>
      <formula>"SAFRA"</formula>
    </cfRule>
    <cfRule type="cellIs" dxfId="7852" priority="11024" operator="between">
      <formula>"SAFRA"</formula>
      <formula>"SAFRA"</formula>
    </cfRule>
    <cfRule type="cellIs" dxfId="7851" priority="11025" operator="between">
      <formula>"DAYCOVAL"</formula>
      <formula>"DAYCOVAL"</formula>
    </cfRule>
    <cfRule type="cellIs" dxfId="7850" priority="11026" operator="between">
      <formula>"ITAÚ FILIAL"</formula>
      <formula>"ITAÚ FILIAL"</formula>
    </cfRule>
    <cfRule type="cellIs" dxfId="7849" priority="11027" operator="between">
      <formula>"ITAÚ FILIAL"</formula>
      <formula>"ITAÚ FILIAL"</formula>
    </cfRule>
    <cfRule type="cellIs" dxfId="7848" priority="11028" operator="equal">
      <formula>"ITAÚ"</formula>
    </cfRule>
    <cfRule type="cellIs" dxfId="7847" priority="11029" operator="equal">
      <formula>"ITAÚ MATRIZ"</formula>
    </cfRule>
    <cfRule type="cellIs" dxfId="7846" priority="11030" operator="between">
      <formula>"ITAÚ MATRIZ"</formula>
      <formula>"ITAÚ MATRIZ"</formula>
    </cfRule>
    <cfRule type="cellIs" dxfId="7845" priority="11031" operator="equal">
      <formula>"ITAÚ"</formula>
    </cfRule>
    <cfRule type="cellIs" dxfId="7844" priority="11032" operator="equal">
      <formula>"ITAÚ MATRIZ"</formula>
    </cfRule>
    <cfRule type="cellIs" dxfId="7843" priority="11033" operator="between">
      <formula>"SAFRA"</formula>
      <formula>"SAFRA"</formula>
    </cfRule>
    <cfRule type="cellIs" dxfId="7842" priority="11034" operator="between">
      <formula>"SAFRA"</formula>
      <formula>"SAFRA"</formula>
    </cfRule>
    <cfRule type="cellIs" dxfId="7841" priority="11035" operator="between">
      <formula>"DAYCOVAL"</formula>
      <formula>"DAYCOVAL"</formula>
    </cfRule>
    <cfRule type="cellIs" dxfId="7840" priority="11036" operator="between">
      <formula>"ITAÚ FILIAL"</formula>
      <formula>"ITAÚ FILIAL"</formula>
    </cfRule>
    <cfRule type="cellIs" dxfId="7839" priority="11037" operator="between">
      <formula>"ITAÚ FILIAL"</formula>
      <formula>"ITAÚ FILIAL"</formula>
    </cfRule>
    <cfRule type="cellIs" dxfId="7838" priority="11038" operator="between">
      <formula>"ITAÚ MATRIZ"</formula>
      <formula>"ITAÚ MATRIZ"</formula>
    </cfRule>
    <cfRule type="cellIs" dxfId="7837" priority="11039" operator="equal">
      <formula>"ITAÚ"</formula>
    </cfRule>
    <cfRule type="cellIs" dxfId="7836" priority="11040" operator="equal">
      <formula>"ITAÚ"</formula>
    </cfRule>
    <cfRule type="cellIs" dxfId="7835" priority="11041" operator="between">
      <formula>"SAFRA"</formula>
      <formula>"SAFRA"</formula>
    </cfRule>
    <cfRule type="cellIs" dxfId="7834" priority="11042" operator="between">
      <formula>"SAFRA"</formula>
      <formula>"SAFRA"</formula>
    </cfRule>
    <cfRule type="cellIs" dxfId="7833" priority="11043" operator="between">
      <formula>"DAYCOVAL"</formula>
      <formula>"DAYCOVAL"</formula>
    </cfRule>
    <cfRule type="cellIs" dxfId="7832" priority="11044" operator="between">
      <formula>"ITAÚ FILIAL"</formula>
      <formula>"ITAÚ FILIAL"</formula>
    </cfRule>
    <cfRule type="cellIs" dxfId="7831" priority="11045" operator="between">
      <formula>"ITAÚ FILIAL"</formula>
      <formula>"ITAÚ FILIAL"</formula>
    </cfRule>
    <cfRule type="cellIs" dxfId="7830" priority="11046" operator="equal">
      <formula>"ITAÚ"</formula>
    </cfRule>
    <cfRule type="cellIs" dxfId="7829" priority="11047" operator="equal">
      <formula>"ITAÚ MATRIZ"</formula>
    </cfRule>
    <cfRule type="cellIs" dxfId="7828" priority="11048" operator="between">
      <formula>"ITAÚ MATRIZ"</formula>
      <formula>"ITAÚ MATRIZ"</formula>
    </cfRule>
    <cfRule type="cellIs" dxfId="7827" priority="11049" operator="equal">
      <formula>"ITAÚ"</formula>
    </cfRule>
    <cfRule type="cellIs" dxfId="7826" priority="11050" operator="equal">
      <formula>"ITAÚ MATRIZ"</formula>
    </cfRule>
    <cfRule type="cellIs" dxfId="7825" priority="11051" operator="between">
      <formula>"SAFRA"</formula>
      <formula>"SAFRA"</formula>
    </cfRule>
    <cfRule type="cellIs" dxfId="7824" priority="11052" operator="between">
      <formula>"SAFRA"</formula>
      <formula>"SAFRA"</formula>
    </cfRule>
    <cfRule type="cellIs" dxfId="7823" priority="11054" operator="between">
      <formula>"ITAÚ FILIAL"</formula>
      <formula>"ITAÚ FILIAL"</formula>
    </cfRule>
    <cfRule type="cellIs" dxfId="7822" priority="11056" operator="between">
      <formula>"ITAÚ MATRIZ"</formula>
      <formula>"ITAÚ MATRIZ"</formula>
    </cfRule>
    <cfRule type="cellIs" dxfId="7821" priority="11057" operator="equal">
      <formula>"ITAÚ"</formula>
    </cfRule>
    <cfRule type="cellIs" dxfId="7820" priority="11058" operator="equal">
      <formula>"ITAÚ"</formula>
    </cfRule>
    <cfRule type="cellIs" dxfId="7819" priority="11059" operator="equal">
      <formula>"ITAÚ MATRIZ"</formula>
    </cfRule>
    <cfRule type="cellIs" dxfId="7818" priority="11060" operator="between">
      <formula>"SAFRA"</formula>
      <formula>"SAFRA"</formula>
    </cfRule>
    <cfRule type="cellIs" dxfId="7817" priority="11061" operator="between">
      <formula>"SAFRA"</formula>
      <formula>"SAFRA"</formula>
    </cfRule>
    <cfRule type="cellIs" dxfId="7816" priority="11062" operator="between">
      <formula>"DAYCOVAL"</formula>
      <formula>"DAYCOVAL"</formula>
    </cfRule>
    <cfRule type="cellIs" dxfId="7815" priority="11063" operator="between">
      <formula>"ITAÚ FILIAL"</formula>
      <formula>"ITAÚ FILIAL"</formula>
    </cfRule>
    <cfRule type="cellIs" dxfId="7814" priority="11064" operator="between">
      <formula>"ITAÚ FILIAL"</formula>
      <formula>"ITAÚ FILIAL"</formula>
    </cfRule>
    <cfRule type="cellIs" dxfId="7813" priority="11065" operator="between">
      <formula>"ITAÚ MATRIZ"</formula>
      <formula>"ITAÚ MATRIZ"</formula>
    </cfRule>
    <cfRule type="cellIs" dxfId="7812" priority="11066" operator="equal">
      <formula>"ITAÚ"</formula>
    </cfRule>
    <cfRule type="cellIs" dxfId="7811" priority="11067" operator="equal">
      <formula>"ITAÚ"</formula>
    </cfRule>
    <cfRule type="cellIs" dxfId="7810" priority="11068" operator="equal">
      <formula>"ITAÚ MATRIZ"</formula>
    </cfRule>
    <cfRule type="cellIs" dxfId="7809" priority="11069" operator="between">
      <formula>"SAFRA"</formula>
      <formula>"SAFRA"</formula>
    </cfRule>
    <cfRule type="cellIs" dxfId="7808" priority="11070" operator="between">
      <formula>"SAFRA"</formula>
      <formula>"SAFRA"</formula>
    </cfRule>
    <cfRule type="cellIs" dxfId="7807" priority="11071" operator="between">
      <formula>"DAYCOVAL"</formula>
      <formula>"DAYCOVAL"</formula>
    </cfRule>
    <cfRule type="cellIs" dxfId="7806" priority="11072" operator="between">
      <formula>"ITAÚ FILIAL"</formula>
      <formula>"ITAÚ FILIAL"</formula>
    </cfRule>
    <cfRule type="cellIs" dxfId="7805" priority="11073" operator="between">
      <formula>"ITAÚ FILIAL"</formula>
      <formula>"ITAÚ FILIAL"</formula>
    </cfRule>
    <cfRule type="cellIs" dxfId="7804" priority="11074" operator="between">
      <formula>"ITAÚ MATRIZ"</formula>
      <formula>"ITAÚ MATRIZ"</formula>
    </cfRule>
    <cfRule type="cellIs" dxfId="7803" priority="11075" operator="equal">
      <formula>"ITAÚ"</formula>
    </cfRule>
    <cfRule type="cellIs" dxfId="7802" priority="11076" operator="equal">
      <formula>"ITAÚ"</formula>
    </cfRule>
    <cfRule type="cellIs" dxfId="7801" priority="11077" operator="equal">
      <formula>"ITAÚ MATRIZ"</formula>
    </cfRule>
    <cfRule type="cellIs" dxfId="7800" priority="11078" operator="between">
      <formula>"SAFRA"</formula>
      <formula>"SAFRA"</formula>
    </cfRule>
    <cfRule type="cellIs" dxfId="7799" priority="11079" operator="between">
      <formula>"SAFRA"</formula>
      <formula>"SAFRA"</formula>
    </cfRule>
    <cfRule type="cellIs" dxfId="7798" priority="11080" operator="between">
      <formula>"DAYCOVAL"</formula>
      <formula>"DAYCOVAL"</formula>
    </cfRule>
    <cfRule type="cellIs" dxfId="7797" priority="11081" operator="between">
      <formula>"ITAÚ FILIAL"</formula>
      <formula>"ITAÚ FILIAL"</formula>
    </cfRule>
    <cfRule type="cellIs" dxfId="7796" priority="11082" operator="between">
      <formula>"ITAÚ FILIAL"</formula>
      <formula>"ITAÚ FILIAL"</formula>
    </cfRule>
    <cfRule type="cellIs" dxfId="7795" priority="11083" operator="between">
      <formula>"ITAÚ MATRIZ"</formula>
      <formula>"ITAÚ MATRIZ"</formula>
    </cfRule>
    <cfRule type="cellIs" dxfId="7794" priority="11084" operator="equal">
      <formula>"ITAÚ"</formula>
    </cfRule>
    <cfRule type="cellIs" dxfId="7793" priority="11085" operator="equal">
      <formula>"ITAÚ"</formula>
    </cfRule>
    <cfRule type="cellIs" dxfId="7792" priority="11086" operator="equal">
      <formula>"ITAÚ MATRIZ"</formula>
    </cfRule>
    <cfRule type="cellIs" dxfId="7791" priority="11087" operator="between">
      <formula>"SAFRA"</formula>
      <formula>"SAFRA"</formula>
    </cfRule>
    <cfRule type="cellIs" dxfId="7790" priority="11088" operator="between">
      <formula>"SAFRA"</formula>
      <formula>"SAFRA"</formula>
    </cfRule>
    <cfRule type="cellIs" dxfId="7789" priority="11089" operator="between">
      <formula>"DAYCOVAL"</formula>
      <formula>"DAYCOVAL"</formula>
    </cfRule>
    <cfRule type="cellIs" dxfId="7788" priority="11090" operator="between">
      <formula>"ITAÚ FILIAL"</formula>
      <formula>"ITAÚ FILIAL"</formula>
    </cfRule>
    <cfRule type="cellIs" dxfId="7787" priority="11091" operator="between">
      <formula>"ITAÚ FILIAL"</formula>
      <formula>"ITAÚ FILIAL"</formula>
    </cfRule>
    <cfRule type="cellIs" dxfId="7786" priority="11092" operator="between">
      <formula>"ITAÚ MATRIZ"</formula>
      <formula>"ITAÚ MATRIZ"</formula>
    </cfRule>
    <cfRule type="cellIs" dxfId="7785" priority="11093" operator="equal">
      <formula>"ITAÚ"</formula>
    </cfRule>
    <cfRule type="cellIs" dxfId="7784" priority="11094" operator="equal">
      <formula>"ITAÚ"</formula>
    </cfRule>
    <cfRule type="cellIs" dxfId="7783" priority="11095" operator="between">
      <formula>"SAFRA"</formula>
      <formula>"SAFRA"</formula>
    </cfRule>
    <cfRule type="cellIs" dxfId="7782" priority="11096" operator="between">
      <formula>"SAFRA"</formula>
      <formula>"SAFRA"</formula>
    </cfRule>
    <cfRule type="cellIs" dxfId="7781" priority="11097" operator="between">
      <formula>"DAYCOVAL"</formula>
      <formula>"DAYCOVAL"</formula>
    </cfRule>
    <cfRule type="cellIs" dxfId="7780" priority="11098" operator="between">
      <formula>"ITAÚ FILIAL"</formula>
      <formula>"ITAÚ FILIAL"</formula>
    </cfRule>
    <cfRule type="cellIs" dxfId="7779" priority="11099" operator="between">
      <formula>"ITAÚ FILIAL"</formula>
      <formula>"ITAÚ FILIAL"</formula>
    </cfRule>
    <cfRule type="cellIs" dxfId="7778" priority="11100" operator="equal">
      <formula>"ITAÚ"</formula>
    </cfRule>
    <cfRule type="cellIs" dxfId="7777" priority="11101" operator="equal">
      <formula>"ITAÚ MATRIZ"</formula>
    </cfRule>
    <cfRule type="cellIs" dxfId="7776" priority="11102" operator="between">
      <formula>"ITAÚ MATRIZ"</formula>
      <formula>"ITAÚ MATRIZ"</formula>
    </cfRule>
    <cfRule type="cellIs" dxfId="7775" priority="11103" operator="equal">
      <formula>"ITAÚ"</formula>
    </cfRule>
    <cfRule type="cellIs" dxfId="7774" priority="11104" operator="equal">
      <formula>"ITAÚ MATRIZ"</formula>
    </cfRule>
    <cfRule type="cellIs" dxfId="7773" priority="11105" operator="between">
      <formula>"SAFRA"</formula>
      <formula>"SAFRA"</formula>
    </cfRule>
    <cfRule type="cellIs" dxfId="7772" priority="11106" operator="between">
      <formula>"SAFRA"</formula>
      <formula>"SAFRA"</formula>
    </cfRule>
    <cfRule type="cellIs" dxfId="7771" priority="11107" operator="between">
      <formula>"DAYCOVAL"</formula>
      <formula>"DAYCOVAL"</formula>
    </cfRule>
    <cfRule type="cellIs" dxfId="7770" priority="11108" operator="between">
      <formula>"ITAÚ FILIAL"</formula>
      <formula>"ITAÚ FILIAL"</formula>
    </cfRule>
    <cfRule type="cellIs" dxfId="7769" priority="11109" operator="between">
      <formula>"ITAÚ FILIAL"</formula>
      <formula>"ITAÚ FILIAL"</formula>
    </cfRule>
    <cfRule type="cellIs" dxfId="7768" priority="11110" operator="between">
      <formula>"ITAÚ MATRIZ"</formula>
      <formula>"ITAÚ MATRIZ"</formula>
    </cfRule>
    <cfRule type="cellIs" dxfId="7767" priority="11111" operator="equal">
      <formula>"ITAÚ"</formula>
    </cfRule>
    <cfRule type="cellIs" dxfId="7766" priority="11112" operator="equal">
      <formula>"ITAÚ"</formula>
    </cfRule>
    <cfRule type="cellIs" dxfId="7765" priority="11113" operator="between">
      <formula>"SAFRA"</formula>
      <formula>"SAFRA"</formula>
    </cfRule>
    <cfRule type="cellIs" dxfId="7764" priority="11114" operator="between">
      <formula>"SAFRA"</formula>
      <formula>"SAFRA"</formula>
    </cfRule>
    <cfRule type="cellIs" dxfId="7763" priority="11115" operator="between">
      <formula>"DAYCOVAL"</formula>
      <formula>"DAYCOVAL"</formula>
    </cfRule>
    <cfRule type="cellIs" dxfId="7762" priority="11116" operator="between">
      <formula>"ITAÚ FILIAL"</formula>
      <formula>"ITAÚ FILIAL"</formula>
    </cfRule>
    <cfRule type="cellIs" dxfId="7761" priority="11117" operator="between">
      <formula>"ITAÚ FILIAL"</formula>
      <formula>"ITAÚ FILIAL"</formula>
    </cfRule>
    <cfRule type="cellIs" dxfId="7760" priority="11118" operator="equal">
      <formula>"ITAÚ"</formula>
    </cfRule>
    <cfRule type="cellIs" dxfId="7759" priority="11119" operator="equal">
      <formula>"ITAÚ MATRIZ"</formula>
    </cfRule>
    <cfRule type="cellIs" dxfId="7758" priority="11120" operator="between">
      <formula>"ITAÚ MATRIZ"</formula>
      <formula>"ITAÚ MATRIZ"</formula>
    </cfRule>
    <cfRule type="cellIs" dxfId="7757" priority="11121" operator="equal">
      <formula>"ITAÚ"</formula>
    </cfRule>
    <cfRule type="cellIs" dxfId="7756" priority="11122" operator="equal">
      <formula>"ITAÚ MATRIZ"</formula>
    </cfRule>
    <cfRule type="cellIs" dxfId="7755" priority="11123" operator="between">
      <formula>"SAFRA"</formula>
      <formula>"SAFRA"</formula>
    </cfRule>
    <cfRule type="cellIs" dxfId="7754" priority="11124" operator="between">
      <formula>"SAFRA"</formula>
      <formula>"SAFRA"</formula>
    </cfRule>
    <cfRule type="cellIs" dxfId="7753" priority="11125" operator="between">
      <formula>"DAYCOVAL"</formula>
      <formula>"DAYCOVAL"</formula>
    </cfRule>
    <cfRule type="cellIs" dxfId="7752" priority="11126" operator="between">
      <formula>"ITAÚ FILIAL"</formula>
      <formula>"ITAÚ FILIAL"</formula>
    </cfRule>
    <cfRule type="cellIs" dxfId="7751" priority="11127" operator="between">
      <formula>"ITAÚ FILIAL"</formula>
      <formula>"ITAÚ FILIAL"</formula>
    </cfRule>
    <cfRule type="cellIs" dxfId="7750" priority="11128" operator="between">
      <formula>"ITAÚ MATRIZ"</formula>
      <formula>"ITAÚ MATRIZ"</formula>
    </cfRule>
    <cfRule type="cellIs" dxfId="7749" priority="11129" operator="equal">
      <formula>"ITAÚ"</formula>
    </cfRule>
    <cfRule type="cellIs" dxfId="7748" priority="11130" operator="equal">
      <formula>"ITAÚ"</formula>
    </cfRule>
    <cfRule type="cellIs" dxfId="7747" priority="11131" operator="between">
      <formula>"SAFRA"</formula>
      <formula>"SAFRA"</formula>
    </cfRule>
    <cfRule type="cellIs" dxfId="7746" priority="11132" operator="between">
      <formula>"SAFRA"</formula>
      <formula>"SAFRA"</formula>
    </cfRule>
    <cfRule type="cellIs" dxfId="7745" priority="11133" operator="between">
      <formula>"DAYCOVAL"</formula>
      <formula>"DAYCOVAL"</formula>
    </cfRule>
    <cfRule type="cellIs" dxfId="7744" priority="11134" operator="between">
      <formula>"ITAÚ FILIAL"</formula>
      <formula>"ITAÚ FILIAL"</formula>
    </cfRule>
    <cfRule type="cellIs" dxfId="7743" priority="11135" operator="between">
      <formula>"ITAÚ FILIAL"</formula>
      <formula>"ITAÚ FILIAL"</formula>
    </cfRule>
    <cfRule type="cellIs" dxfId="7742" priority="11136" operator="equal">
      <formula>"ITAÚ"</formula>
    </cfRule>
    <cfRule type="cellIs" dxfId="7741" priority="11137" operator="equal">
      <formula>"ITAÚ MATRIZ"</formula>
    </cfRule>
    <cfRule type="cellIs" dxfId="7740" priority="11138" operator="between">
      <formula>"ITAÚ MATRIZ"</formula>
      <formula>"ITAÚ MATRIZ"</formula>
    </cfRule>
    <cfRule type="cellIs" dxfId="7739" priority="11139" operator="equal">
      <formula>"ITAÚ"</formula>
    </cfRule>
    <cfRule type="cellIs" dxfId="7738" priority="11140" operator="between">
      <formula>"SAFRA"</formula>
      <formula>"SAFRA"</formula>
    </cfRule>
    <cfRule type="cellIs" dxfId="7737" priority="11141" operator="between">
      <formula>"SAFRA"</formula>
      <formula>"SAFRA"</formula>
    </cfRule>
    <cfRule type="cellIs" dxfId="7736" priority="11142" operator="between">
      <formula>"DAYCOVAL"</formula>
      <formula>"DAYCOVAL"</formula>
    </cfRule>
    <cfRule type="cellIs" dxfId="7735" priority="11143" operator="between">
      <formula>"ITAÚ FILIAL"</formula>
      <formula>"ITAÚ FILIAL"</formula>
    </cfRule>
    <cfRule type="cellIs" dxfId="7734" priority="11144" operator="between">
      <formula>"ITAÚ FILIAL"</formula>
      <formula>"ITAÚ FILIAL"</formula>
    </cfRule>
    <cfRule type="cellIs" dxfId="7733" priority="11145" operator="equal">
      <formula>"ITAÚ"</formula>
    </cfRule>
    <cfRule type="cellIs" dxfId="7732" priority="11146" operator="equal">
      <formula>"ITAÚ MATRIZ"</formula>
    </cfRule>
    <cfRule type="cellIs" dxfId="7731" priority="11147" operator="between">
      <formula>"ITAÚ MATRIZ"</formula>
      <formula>"ITAÚ MATRIZ"</formula>
    </cfRule>
    <cfRule type="cellIs" dxfId="7730" priority="11148" operator="equal">
      <formula>"ITAÚ"</formula>
    </cfRule>
    <cfRule type="cellIs" dxfId="7729" priority="11170" operator="equal">
      <formula>"ITAÚ MATRIZ"</formula>
    </cfRule>
    <cfRule type="cellIs" dxfId="7728" priority="11171" operator="between">
      <formula>"SAFRA"</formula>
      <formula>"SAFRA"</formula>
    </cfRule>
    <cfRule type="cellIs" dxfId="7727" priority="11172" operator="between">
      <formula>"SAFRA"</formula>
      <formula>"SAFRA"</formula>
    </cfRule>
    <cfRule type="cellIs" dxfId="7726" priority="10965" operator="between">
      <formula>"ITAÚ FILIAL"</formula>
      <formula>"ITAÚ FILIAL"</formula>
    </cfRule>
    <cfRule type="cellIs" dxfId="7725" priority="11053" operator="between">
      <formula>"DAYCOVAL"</formula>
      <formula>"DAYCOVAL"</formula>
    </cfRule>
    <cfRule type="cellIs" dxfId="7724" priority="10964" operator="between">
      <formula>"ITAÚ FILIAL"</formula>
      <formula>"ITAÚ FILIAL"</formula>
    </cfRule>
    <cfRule type="cellIs" dxfId="7723" priority="10963" operator="between">
      <formula>"DAYCOVAL"</formula>
      <formula>"DAYCOVAL"</formula>
    </cfRule>
    <cfRule type="cellIs" dxfId="7722" priority="10966" operator="between">
      <formula>"ITAÚ MATRIZ"</formula>
      <formula>"ITAÚ MATRIZ"</formula>
    </cfRule>
    <cfRule type="cellIs" dxfId="7721" priority="10961" operator="between">
      <formula>"SAFRA"</formula>
      <formula>"SAFRA"</formula>
    </cfRule>
    <cfRule type="cellIs" dxfId="7720" priority="10960" operator="equal">
      <formula>"ITAÚ MATRIZ"</formula>
    </cfRule>
    <cfRule type="cellIs" dxfId="7719" priority="11173" operator="between">
      <formula>"DAYCOVAL"</formula>
      <formula>"DAYCOVAL"</formula>
    </cfRule>
    <cfRule type="cellIs" dxfId="7718" priority="11055" operator="between">
      <formula>"ITAÚ FILIAL"</formula>
      <formula>"ITAÚ FILIAL"</formula>
    </cfRule>
    <cfRule type="cellIs" dxfId="7717" priority="11358" operator="equal">
      <formula>"ITAÚ"</formula>
    </cfRule>
    <cfRule type="cellIs" dxfId="7716" priority="11357" operator="between">
      <formula>"ITAÚ MATRIZ"</formula>
      <formula>"ITAÚ MATRIZ"</formula>
    </cfRule>
    <cfRule type="cellIs" dxfId="7715" priority="11356" operator="equal">
      <formula>"ITAÚ MATRIZ"</formula>
    </cfRule>
    <cfRule type="cellIs" dxfId="7714" priority="11355" operator="equal">
      <formula>"ITAÚ"</formula>
    </cfRule>
    <cfRule type="cellIs" dxfId="7713" priority="11354" operator="between">
      <formula>"ITAÚ FILIAL"</formula>
      <formula>"ITAÚ FILIAL"</formula>
    </cfRule>
    <cfRule type="cellIs" dxfId="7712" priority="11353" operator="between">
      <formula>"ITAÚ FILIAL"</formula>
      <formula>"ITAÚ FILIAL"</formula>
    </cfRule>
    <cfRule type="cellIs" dxfId="7711" priority="11352" operator="between">
      <formula>"DAYCOVAL"</formula>
      <formula>"DAYCOVAL"</formula>
    </cfRule>
    <cfRule type="cellIs" dxfId="7710" priority="11351" operator="between">
      <formula>"SAFRA"</formula>
      <formula>"SAFRA"</formula>
    </cfRule>
    <cfRule type="cellIs" dxfId="7709" priority="11350" operator="between">
      <formula>"SAFRA"</formula>
      <formula>"SAFRA"</formula>
    </cfRule>
    <cfRule type="cellIs" dxfId="7708" priority="11349" operator="equal">
      <formula>"ITAÚ"</formula>
    </cfRule>
    <cfRule type="cellIs" dxfId="7707" priority="11348" operator="equal">
      <formula>"ITAÚ"</formula>
    </cfRule>
    <cfRule type="cellIs" dxfId="7706" priority="11347" operator="between">
      <formula>"ITAÚ MATRIZ"</formula>
      <formula>"ITAÚ MATRIZ"</formula>
    </cfRule>
    <cfRule type="cellIs" dxfId="7705" priority="11346" operator="between">
      <formula>"ITAÚ FILIAL"</formula>
      <formula>"ITAÚ FILIAL"</formula>
    </cfRule>
    <cfRule type="cellIs" dxfId="7704" priority="11345" operator="between">
      <formula>"ITAÚ FILIAL"</formula>
      <formula>"ITAÚ FILIAL"</formula>
    </cfRule>
    <cfRule type="cellIs" dxfId="7703" priority="11344" operator="between">
      <formula>"DAYCOVAL"</formula>
      <formula>"DAYCOVAL"</formula>
    </cfRule>
    <cfRule type="cellIs" dxfId="7702" priority="11343" operator="between">
      <formula>"SAFRA"</formula>
      <formula>"SAFRA"</formula>
    </cfRule>
    <cfRule type="cellIs" dxfId="7701" priority="11342" operator="between">
      <formula>"SAFRA"</formula>
      <formula>"SAFRA"</formula>
    </cfRule>
    <cfRule type="cellIs" dxfId="7700" priority="11341" operator="equal">
      <formula>"ITAÚ MATRIZ"</formula>
    </cfRule>
    <cfRule type="cellIs" dxfId="7699" priority="11340" operator="equal">
      <formula>"ITAÚ"</formula>
    </cfRule>
    <cfRule type="cellIs" dxfId="7698" priority="11339" operator="between">
      <formula>"ITAÚ MATRIZ"</formula>
      <formula>"ITAÚ MATRIZ"</formula>
    </cfRule>
    <cfRule type="cellIs" dxfId="7697" priority="11338" operator="equal">
      <formula>"ITAÚ MATRIZ"</formula>
    </cfRule>
    <cfRule type="cellIs" dxfId="7696" priority="11337" operator="equal">
      <formula>"ITAÚ"</formula>
    </cfRule>
    <cfRule type="cellIs" dxfId="7695" priority="11336" operator="between">
      <formula>"ITAÚ FILIAL"</formula>
      <formula>"ITAÚ FILIAL"</formula>
    </cfRule>
    <cfRule type="cellIs" dxfId="7694" priority="11335" operator="between">
      <formula>"ITAÚ FILIAL"</formula>
      <formula>"ITAÚ FILIAL"</formula>
    </cfRule>
    <cfRule type="cellIs" dxfId="7693" priority="11334" operator="between">
      <formula>"DAYCOVAL"</formula>
      <formula>"DAYCOVAL"</formula>
    </cfRule>
    <cfRule type="cellIs" dxfId="7692" priority="11333" operator="between">
      <formula>"SAFRA"</formula>
      <formula>"SAFRA"</formula>
    </cfRule>
    <cfRule type="cellIs" dxfId="7691" priority="11332" operator="between">
      <formula>"SAFRA"</formula>
      <formula>"SAFRA"</formula>
    </cfRule>
    <cfRule type="cellIs" dxfId="7690" priority="11331" operator="equal">
      <formula>"ITAÚ"</formula>
    </cfRule>
    <cfRule type="cellIs" dxfId="7689" priority="11330" operator="equal">
      <formula>"ITAÚ"</formula>
    </cfRule>
    <cfRule type="cellIs" dxfId="7688" priority="11329" operator="between">
      <formula>"ITAÚ MATRIZ"</formula>
      <formula>"ITAÚ MATRIZ"</formula>
    </cfRule>
    <cfRule type="cellIs" dxfId="7687" priority="11328" operator="between">
      <formula>"ITAÚ FILIAL"</formula>
      <formula>"ITAÚ FILIAL"</formula>
    </cfRule>
    <cfRule type="cellIs" dxfId="7686" priority="11327" operator="between">
      <formula>"ITAÚ FILIAL"</formula>
      <formula>"ITAÚ FILIAL"</formula>
    </cfRule>
    <cfRule type="cellIs" dxfId="7685" priority="11326" operator="between">
      <formula>"DAYCOVAL"</formula>
      <formula>"DAYCOVAL"</formula>
    </cfRule>
    <cfRule type="cellIs" dxfId="7684" priority="11325" operator="between">
      <formula>"SAFRA"</formula>
      <formula>"SAFRA"</formula>
    </cfRule>
    <cfRule type="cellIs" dxfId="7683" priority="11324" operator="between">
      <formula>"SAFRA"</formula>
      <formula>"SAFRA"</formula>
    </cfRule>
    <cfRule type="cellIs" dxfId="7682" priority="11323" operator="equal">
      <formula>"ITAÚ MATRIZ"</formula>
    </cfRule>
    <cfRule type="cellIs" dxfId="7681" priority="11322" operator="equal">
      <formula>"ITAÚ"</formula>
    </cfRule>
    <cfRule type="cellIs" dxfId="7680" priority="11321" operator="between">
      <formula>"ITAÚ MATRIZ"</formula>
      <formula>"ITAÚ MATRIZ"</formula>
    </cfRule>
    <cfRule type="cellIs" dxfId="7679" priority="11320" operator="equal">
      <formula>"ITAÚ MATRIZ"</formula>
    </cfRule>
    <cfRule type="cellIs" dxfId="7678" priority="11319" operator="equal">
      <formula>"ITAÚ"</formula>
    </cfRule>
    <cfRule type="cellIs" dxfId="7677" priority="11318" operator="between">
      <formula>"ITAÚ FILIAL"</formula>
      <formula>"ITAÚ FILIAL"</formula>
    </cfRule>
    <cfRule type="cellIs" dxfId="7676" priority="11317" operator="between">
      <formula>"ITAÚ FILIAL"</formula>
      <formula>"ITAÚ FILIAL"</formula>
    </cfRule>
    <cfRule type="cellIs" dxfId="7675" priority="11316" operator="between">
      <formula>"DAYCOVAL"</formula>
      <formula>"DAYCOVAL"</formula>
    </cfRule>
    <cfRule type="cellIs" dxfId="7674" priority="11315" operator="between">
      <formula>"SAFRA"</formula>
      <formula>"SAFRA"</formula>
    </cfRule>
    <cfRule type="cellIs" dxfId="7673" priority="11314" operator="between">
      <formula>"SAFRA"</formula>
      <formula>"SAFRA"</formula>
    </cfRule>
    <cfRule type="cellIs" dxfId="7672" priority="11313" operator="equal">
      <formula>"ITAÚ"</formula>
    </cfRule>
    <cfRule type="cellIs" dxfId="7671" priority="11312" operator="equal">
      <formula>"ITAÚ"</formula>
    </cfRule>
    <cfRule type="cellIs" dxfId="7670" priority="11311" operator="between">
      <formula>"ITAÚ MATRIZ"</formula>
      <formula>"ITAÚ MATRIZ"</formula>
    </cfRule>
    <cfRule type="cellIs" dxfId="7669" priority="11310" operator="between">
      <formula>"ITAÚ FILIAL"</formula>
      <formula>"ITAÚ FILIAL"</formula>
    </cfRule>
    <cfRule type="cellIs" dxfId="7668" priority="11309" operator="between">
      <formula>"ITAÚ FILIAL"</formula>
      <formula>"ITAÚ FILIAL"</formula>
    </cfRule>
    <cfRule type="cellIs" dxfId="7667" priority="11308" operator="between">
      <formula>"DAYCOVAL"</formula>
      <formula>"DAYCOVAL"</formula>
    </cfRule>
    <cfRule type="cellIs" dxfId="7666" priority="11307" operator="between">
      <formula>"SAFRA"</formula>
      <formula>"SAFRA"</formula>
    </cfRule>
    <cfRule type="cellIs" dxfId="7665" priority="11306" operator="between">
      <formula>"SAFRA"</formula>
      <formula>"SAFRA"</formula>
    </cfRule>
    <cfRule type="cellIs" dxfId="7664" priority="11305" operator="equal">
      <formula>"ITAÚ MATRIZ"</formula>
    </cfRule>
    <cfRule type="cellIs" dxfId="7663" priority="11304" operator="equal">
      <formula>"ITAÚ"</formula>
    </cfRule>
    <cfRule type="cellIs" dxfId="7662" priority="11303" operator="equal">
      <formula>"ITAÚ"</formula>
    </cfRule>
    <cfRule type="cellIs" dxfId="7661" priority="11302" operator="between">
      <formula>"ITAÚ MATRIZ"</formula>
      <formula>"ITAÚ MATRIZ"</formula>
    </cfRule>
    <cfRule type="cellIs" dxfId="7660" priority="11301" operator="between">
      <formula>"ITAÚ FILIAL"</formula>
      <formula>"ITAÚ FILIAL"</formula>
    </cfRule>
    <cfRule type="cellIs" dxfId="7659" priority="11300" operator="between">
      <formula>"ITAÚ FILIAL"</formula>
      <formula>"ITAÚ FILIAL"</formula>
    </cfRule>
    <cfRule type="cellIs" dxfId="7658" priority="11299" operator="between">
      <formula>"DAYCOVAL"</formula>
      <formula>"DAYCOVAL"</formula>
    </cfRule>
    <cfRule type="cellIs" dxfId="7657" priority="11298" operator="between">
      <formula>"SAFRA"</formula>
      <formula>"SAFRA"</formula>
    </cfRule>
    <cfRule type="cellIs" dxfId="7656" priority="11297" operator="between">
      <formula>"SAFRA"</formula>
      <formula>"SAFRA"</formula>
    </cfRule>
    <cfRule type="cellIs" dxfId="7655" priority="11296" operator="equal">
      <formula>"ITAÚ MATRIZ"</formula>
    </cfRule>
    <cfRule type="cellIs" dxfId="7654" priority="11295" operator="equal">
      <formula>"ITAÚ"</formula>
    </cfRule>
    <cfRule type="cellIs" dxfId="7653" priority="11294" operator="equal">
      <formula>"ITAÚ"</formula>
    </cfRule>
    <cfRule type="cellIs" dxfId="7652" priority="11293" operator="between">
      <formula>"ITAÚ MATRIZ"</formula>
      <formula>"ITAÚ MATRIZ"</formula>
    </cfRule>
    <cfRule type="cellIs" dxfId="7651" priority="11292" operator="between">
      <formula>"ITAÚ FILIAL"</formula>
      <formula>"ITAÚ FILIAL"</formula>
    </cfRule>
    <cfRule type="cellIs" dxfId="7650" priority="11291" operator="between">
      <formula>"ITAÚ FILIAL"</formula>
      <formula>"ITAÚ FILIAL"</formula>
    </cfRule>
    <cfRule type="cellIs" dxfId="7649" priority="11290" operator="between">
      <formula>"DAYCOVAL"</formula>
      <formula>"DAYCOVAL"</formula>
    </cfRule>
    <cfRule type="cellIs" dxfId="7648" priority="11289" operator="between">
      <formula>"SAFRA"</formula>
      <formula>"SAFRA"</formula>
    </cfRule>
    <cfRule type="cellIs" dxfId="7647" priority="11288" operator="between">
      <formula>"SAFRA"</formula>
      <formula>"SAFRA"</formula>
    </cfRule>
    <cfRule type="cellIs" dxfId="7646" priority="11287" operator="equal">
      <formula>"ITAÚ MATRIZ"</formula>
    </cfRule>
    <cfRule type="cellIs" dxfId="7645" priority="11286" operator="equal">
      <formula>"ITAÚ"</formula>
    </cfRule>
    <cfRule type="cellIs" dxfId="7644" priority="11285" operator="equal">
      <formula>"ITAÚ"</formula>
    </cfRule>
    <cfRule type="cellIs" dxfId="7643" priority="11284" operator="between">
      <formula>"ITAÚ MATRIZ"</formula>
      <formula>"ITAÚ MATRIZ"</formula>
    </cfRule>
    <cfRule type="cellIs" dxfId="7642" priority="11283" operator="between">
      <formula>"ITAÚ FILIAL"</formula>
      <formula>"ITAÚ FILIAL"</formula>
    </cfRule>
    <cfRule type="cellIs" dxfId="7641" priority="11282" operator="between">
      <formula>"ITAÚ FILIAL"</formula>
      <formula>"ITAÚ FILIAL"</formula>
    </cfRule>
    <cfRule type="cellIs" dxfId="7640" priority="11281" operator="between">
      <formula>"DAYCOVAL"</formula>
      <formula>"DAYCOVAL"</formula>
    </cfRule>
    <cfRule type="cellIs" dxfId="7639" priority="11280" operator="between">
      <formula>"SAFRA"</formula>
      <formula>"SAFRA"</formula>
    </cfRule>
    <cfRule type="cellIs" dxfId="7638" priority="11279" operator="between">
      <formula>"SAFRA"</formula>
      <formula>"SAFRA"</formula>
    </cfRule>
    <cfRule type="cellIs" dxfId="7637" priority="11278" operator="equal">
      <formula>"ITAÚ MATRIZ"</formula>
    </cfRule>
    <cfRule type="cellIs" dxfId="7636" priority="11277" operator="equal">
      <formula>"ITAÚ"</formula>
    </cfRule>
    <cfRule type="cellIs" dxfId="7635" priority="11276" operator="equal">
      <formula>"ITAÚ"</formula>
    </cfRule>
    <cfRule type="cellIs" dxfId="7634" priority="11275" operator="between">
      <formula>"ITAÚ MATRIZ"</formula>
      <formula>"ITAÚ MATRIZ"</formula>
    </cfRule>
    <cfRule type="cellIs" dxfId="7633" priority="11274" operator="between">
      <formula>"ITAÚ FILIAL"</formula>
      <formula>"ITAÚ FILIAL"</formula>
    </cfRule>
    <cfRule type="cellIs" dxfId="7632" priority="11273" operator="between">
      <formula>"ITAÚ FILIAL"</formula>
      <formula>"ITAÚ FILIAL"</formula>
    </cfRule>
    <cfRule type="cellIs" dxfId="7631" priority="11272" operator="between">
      <formula>"DAYCOVAL"</formula>
      <formula>"DAYCOVAL"</formula>
    </cfRule>
    <cfRule type="cellIs" dxfId="7630" priority="11271" operator="between">
      <formula>"SAFRA"</formula>
      <formula>"SAFRA"</formula>
    </cfRule>
    <cfRule type="cellIs" dxfId="7629" priority="11270" operator="between">
      <formula>"SAFRA"</formula>
      <formula>"SAFRA"</formula>
    </cfRule>
    <cfRule type="cellIs" dxfId="7628" priority="11269" operator="equal">
      <formula>"ITAÚ MATRIZ"</formula>
    </cfRule>
    <cfRule type="cellIs" dxfId="7627" priority="11268" operator="equal">
      <formula>"ITAÚ"</formula>
    </cfRule>
    <cfRule type="cellIs" dxfId="7626" priority="11267" operator="between">
      <formula>"ITAÚ MATRIZ"</formula>
      <formula>"ITAÚ MATRIZ"</formula>
    </cfRule>
    <cfRule type="cellIs" dxfId="7625" priority="11266" operator="equal">
      <formula>"ITAÚ MATRIZ"</formula>
    </cfRule>
    <cfRule type="cellIs" dxfId="7624" priority="11265" operator="equal">
      <formula>"ITAÚ"</formula>
    </cfRule>
    <cfRule type="cellIs" dxfId="7623" priority="11264" operator="between">
      <formula>"ITAÚ FILIAL"</formula>
      <formula>"ITAÚ FILIAL"</formula>
    </cfRule>
    <cfRule type="cellIs" dxfId="7622" priority="11263" operator="between">
      <formula>"ITAÚ FILIAL"</formula>
      <formula>"ITAÚ FILIAL"</formula>
    </cfRule>
    <cfRule type="cellIs" dxfId="7621" priority="11262" operator="between">
      <formula>"DAYCOVAL"</formula>
      <formula>"DAYCOVAL"</formula>
    </cfRule>
    <cfRule type="cellIs" dxfId="7620" priority="11261" operator="between">
      <formula>"SAFRA"</formula>
      <formula>"SAFRA"</formula>
    </cfRule>
    <cfRule type="cellIs" dxfId="7619" priority="11260" operator="between">
      <formula>"SAFRA"</formula>
      <formula>"SAFRA"</formula>
    </cfRule>
    <cfRule type="cellIs" dxfId="7618" priority="11259" operator="equal">
      <formula>"ITAÚ"</formula>
    </cfRule>
    <cfRule type="cellIs" dxfId="7617" priority="11258" operator="equal">
      <formula>"ITAÚ"</formula>
    </cfRule>
    <cfRule type="cellIs" dxfId="7616" priority="11257" operator="between">
      <formula>"ITAÚ MATRIZ"</formula>
      <formula>"ITAÚ MATRIZ"</formula>
    </cfRule>
    <cfRule type="cellIs" dxfId="7615" priority="11256" operator="between">
      <formula>"ITAÚ FILIAL"</formula>
      <formula>"ITAÚ FILIAL"</formula>
    </cfRule>
    <cfRule type="cellIs" dxfId="7614" priority="11255" operator="between">
      <formula>"ITAÚ FILIAL"</formula>
      <formula>"ITAÚ FILIAL"</formula>
    </cfRule>
    <cfRule type="cellIs" dxfId="7613" priority="11254" operator="between">
      <formula>"DAYCOVAL"</formula>
      <formula>"DAYCOVAL"</formula>
    </cfRule>
    <cfRule type="cellIs" dxfId="7612" priority="11253" operator="between">
      <formula>"SAFRA"</formula>
      <formula>"SAFRA"</formula>
    </cfRule>
    <cfRule type="cellIs" dxfId="7611" priority="11252" operator="between">
      <formula>"SAFRA"</formula>
      <formula>"SAFRA"</formula>
    </cfRule>
    <cfRule type="cellIs" dxfId="7610" priority="11251" operator="equal">
      <formula>"ITAÚ MATRIZ"</formula>
    </cfRule>
    <cfRule type="cellIs" dxfId="7609" priority="11250" operator="equal">
      <formula>"ITAÚ"</formula>
    </cfRule>
    <cfRule type="cellIs" dxfId="7608" priority="11249" operator="between">
      <formula>"ITAÚ MATRIZ"</formula>
      <formula>"ITAÚ MATRIZ"</formula>
    </cfRule>
    <cfRule type="cellIs" dxfId="7607" priority="11248" operator="equal">
      <formula>"ITAÚ MATRIZ"</formula>
    </cfRule>
    <cfRule type="cellIs" dxfId="7606" priority="11247" operator="equal">
      <formula>"ITAÚ"</formula>
    </cfRule>
    <cfRule type="cellIs" dxfId="7605" priority="11246" operator="between">
      <formula>"ITAÚ FILIAL"</formula>
      <formula>"ITAÚ FILIAL"</formula>
    </cfRule>
    <cfRule type="cellIs" dxfId="7604" priority="11245" operator="between">
      <formula>"ITAÚ FILIAL"</formula>
      <formula>"ITAÚ FILIAL"</formula>
    </cfRule>
    <cfRule type="cellIs" dxfId="7603" priority="11244" operator="between">
      <formula>"DAYCOVAL"</formula>
      <formula>"DAYCOVAL"</formula>
    </cfRule>
    <cfRule type="cellIs" dxfId="7602" priority="11243" operator="between">
      <formula>"SAFRA"</formula>
      <formula>"SAFRA"</formula>
    </cfRule>
    <cfRule type="cellIs" dxfId="7601" priority="11242" operator="between">
      <formula>"SAFRA"</formula>
      <formula>"SAFRA"</formula>
    </cfRule>
    <cfRule type="cellIs" dxfId="7600" priority="11241" operator="equal">
      <formula>"ITAÚ"</formula>
    </cfRule>
    <cfRule type="cellIs" dxfId="7599" priority="11240" operator="equal">
      <formula>"ITAÚ"</formula>
    </cfRule>
    <cfRule type="cellIs" dxfId="7598" priority="11239" operator="between">
      <formula>"ITAÚ MATRIZ"</formula>
      <formula>"ITAÚ MATRIZ"</formula>
    </cfRule>
    <cfRule type="cellIs" dxfId="7597" priority="11238" operator="between">
      <formula>"ITAÚ FILIAL"</formula>
      <formula>"ITAÚ FILIAL"</formula>
    </cfRule>
    <cfRule type="cellIs" dxfId="7596" priority="11237" operator="between">
      <formula>"ITAÚ FILIAL"</formula>
      <formula>"ITAÚ FILIAL"</formula>
    </cfRule>
    <cfRule type="cellIs" dxfId="7595" priority="11236" operator="between">
      <formula>"DAYCOVAL"</formula>
      <formula>"DAYCOVAL"</formula>
    </cfRule>
    <cfRule type="cellIs" dxfId="7594" priority="11235" operator="between">
      <formula>"SAFRA"</formula>
      <formula>"SAFRA"</formula>
    </cfRule>
    <cfRule type="cellIs" dxfId="7593" priority="11234" operator="between">
      <formula>"SAFRA"</formula>
      <formula>"SAFRA"</formula>
    </cfRule>
    <cfRule type="cellIs" dxfId="7592" priority="11233" operator="equal">
      <formula>"ITAÚ MATRIZ"</formula>
    </cfRule>
    <cfRule type="cellIs" dxfId="7591" priority="11232" operator="equal">
      <formula>"ITAÚ"</formula>
    </cfRule>
    <cfRule type="cellIs" dxfId="7590" priority="11231" operator="equal">
      <formula>"ITAÚ"</formula>
    </cfRule>
    <cfRule type="cellIs" dxfId="7589" priority="11230" operator="between">
      <formula>"ITAÚ MATRIZ"</formula>
      <formula>"ITAÚ MATRIZ"</formula>
    </cfRule>
    <cfRule type="cellIs" dxfId="7588" priority="11229" operator="between">
      <formula>"ITAÚ FILIAL"</formula>
      <formula>"ITAÚ FILIAL"</formula>
    </cfRule>
    <cfRule type="cellIs" dxfId="7587" priority="11228" operator="between">
      <formula>"ITAÚ FILIAL"</formula>
      <formula>"ITAÚ FILIAL"</formula>
    </cfRule>
    <cfRule type="cellIs" dxfId="7586" priority="11227" operator="between">
      <formula>"DAYCOVAL"</formula>
      <formula>"DAYCOVAL"</formula>
    </cfRule>
    <cfRule type="cellIs" dxfId="7585" priority="11226" operator="between">
      <formula>"SAFRA"</formula>
      <formula>"SAFRA"</formula>
    </cfRule>
    <cfRule type="cellIs" dxfId="7584" priority="11225" operator="between">
      <formula>"SAFRA"</formula>
      <formula>"SAFRA"</formula>
    </cfRule>
    <cfRule type="cellIs" dxfId="7583" priority="11224" operator="equal">
      <formula>"ITAÚ MATRIZ"</formula>
    </cfRule>
    <cfRule type="cellIs" dxfId="7582" priority="11223" operator="equal">
      <formula>"ITAÚ"</formula>
    </cfRule>
    <cfRule type="cellIs" dxfId="7581" priority="11222" operator="equal">
      <formula>"ITAÚ"</formula>
    </cfRule>
    <cfRule type="cellIs" dxfId="7580" priority="11221" operator="between">
      <formula>"ITAÚ MATRIZ"</formula>
      <formula>"ITAÚ MATRIZ"</formula>
    </cfRule>
    <cfRule type="cellIs" dxfId="7579" priority="11220" operator="between">
      <formula>"ITAÚ FILIAL"</formula>
      <formula>"ITAÚ FILIAL"</formula>
    </cfRule>
    <cfRule type="cellIs" dxfId="7578" priority="11219" operator="between">
      <formula>"ITAÚ FILIAL"</formula>
      <formula>"ITAÚ FILIAL"</formula>
    </cfRule>
    <cfRule type="cellIs" dxfId="7577" priority="11218" operator="between">
      <formula>"DAYCOVAL"</formula>
      <formula>"DAYCOVAL"</formula>
    </cfRule>
    <cfRule type="cellIs" dxfId="7576" priority="11217" operator="between">
      <formula>"SAFRA"</formula>
      <formula>"SAFRA"</formula>
    </cfRule>
    <cfRule type="cellIs" dxfId="7575" priority="11216" operator="between">
      <formula>"SAFRA"</formula>
      <formula>"SAFRA"</formula>
    </cfRule>
    <cfRule type="cellIs" dxfId="7574" priority="11215" operator="equal">
      <formula>"ITAÚ MATRIZ"</formula>
    </cfRule>
    <cfRule type="cellIs" dxfId="7573" priority="11214" operator="equal">
      <formula>"ITAÚ"</formula>
    </cfRule>
    <cfRule type="cellIs" dxfId="7572" priority="11213" operator="equal">
      <formula>"ITAÚ"</formula>
    </cfRule>
    <cfRule type="cellIs" dxfId="7571" priority="11212" operator="between">
      <formula>"ITAÚ MATRIZ"</formula>
      <formula>"ITAÚ MATRIZ"</formula>
    </cfRule>
    <cfRule type="cellIs" dxfId="7570" priority="11211" operator="between">
      <formula>"ITAÚ FILIAL"</formula>
      <formula>"ITAÚ FILIAL"</formula>
    </cfRule>
    <cfRule type="cellIs" dxfId="7569" priority="11210" operator="between">
      <formula>"ITAÚ FILIAL"</formula>
      <formula>"ITAÚ FILIAL"</formula>
    </cfRule>
    <cfRule type="cellIs" dxfId="7568" priority="11209" operator="between">
      <formula>"DAYCOVAL"</formula>
      <formula>"DAYCOVAL"</formula>
    </cfRule>
    <cfRule type="cellIs" dxfId="7567" priority="11208" operator="between">
      <formula>"SAFRA"</formula>
      <formula>"SAFRA"</formula>
    </cfRule>
    <cfRule type="cellIs" dxfId="7566" priority="11207" operator="between">
      <formula>"SAFRA"</formula>
      <formula>"SAFRA"</formula>
    </cfRule>
    <cfRule type="cellIs" dxfId="7565" priority="11206" operator="equal">
      <formula>"ITAÚ MATRIZ"</formula>
    </cfRule>
    <cfRule type="cellIs" dxfId="7564" priority="11205" operator="equal">
      <formula>"ITAÚ"</formula>
    </cfRule>
    <cfRule type="cellIs" dxfId="7563" priority="11204" operator="equal">
      <formula>"ITAÚ"</formula>
    </cfRule>
    <cfRule type="cellIs" dxfId="7562" priority="11203" operator="between">
      <formula>"ITAÚ MATRIZ"</formula>
      <formula>"ITAÚ MATRIZ"</formula>
    </cfRule>
    <cfRule type="cellIs" dxfId="7561" priority="11202" operator="between">
      <formula>"ITAÚ FILIAL"</formula>
      <formula>"ITAÚ FILIAL"</formula>
    </cfRule>
    <cfRule type="cellIs" dxfId="7560" priority="11201" operator="between">
      <formula>"ITAÚ FILIAL"</formula>
      <formula>"ITAÚ FILIAL"</formula>
    </cfRule>
    <cfRule type="cellIs" dxfId="7559" priority="11200" operator="between">
      <formula>"DAYCOVAL"</formula>
      <formula>"DAYCOVAL"</formula>
    </cfRule>
    <cfRule type="cellIs" dxfId="7558" priority="11199" operator="between">
      <formula>"SAFRA"</formula>
      <formula>"SAFRA"</formula>
    </cfRule>
    <cfRule type="cellIs" dxfId="7557" priority="11198" operator="between">
      <formula>"SAFRA"</formula>
      <formula>"SAFRA"</formula>
    </cfRule>
    <cfRule type="cellIs" dxfId="7556" priority="11197" operator="equal">
      <formula>"ITAÚ MATRIZ"</formula>
    </cfRule>
    <cfRule type="cellIs" dxfId="7555" priority="11196" operator="equal">
      <formula>"ITAÚ"</formula>
    </cfRule>
    <cfRule type="cellIs" dxfId="7554" priority="11195" operator="between">
      <formula>"ITAÚ MATRIZ"</formula>
      <formula>"ITAÚ MATRIZ"</formula>
    </cfRule>
    <cfRule type="cellIs" dxfId="7553" priority="11194" operator="equal">
      <formula>"ITAÚ MATRIZ"</formula>
    </cfRule>
    <cfRule type="cellIs" dxfId="7552" priority="11193" operator="equal">
      <formula>"ITAÚ"</formula>
    </cfRule>
    <cfRule type="cellIs" dxfId="7551" priority="11192" operator="between">
      <formula>"ITAÚ FILIAL"</formula>
      <formula>"ITAÚ FILIAL"</formula>
    </cfRule>
    <cfRule type="cellIs" dxfId="7550" priority="11191" operator="between">
      <formula>"ITAÚ FILIAL"</formula>
      <formula>"ITAÚ FILIAL"</formula>
    </cfRule>
    <cfRule type="cellIs" dxfId="7549" priority="11190" operator="between">
      <formula>"DAYCOVAL"</formula>
      <formula>"DAYCOVAL"</formula>
    </cfRule>
    <cfRule type="cellIs" dxfId="7548" priority="11189" operator="between">
      <formula>"SAFRA"</formula>
      <formula>"SAFRA"</formula>
    </cfRule>
    <cfRule type="cellIs" dxfId="7547" priority="11188" operator="between">
      <formula>"SAFRA"</formula>
      <formula>"SAFRA"</formula>
    </cfRule>
    <cfRule type="cellIs" dxfId="7546" priority="11187" operator="equal">
      <formula>"ITAÚ"</formula>
    </cfRule>
    <cfRule type="cellIs" dxfId="7545" priority="11186" operator="equal">
      <formula>"ITAÚ"</formula>
    </cfRule>
    <cfRule type="cellIs" dxfId="7544" priority="11185" operator="between">
      <formula>"ITAÚ MATRIZ"</formula>
      <formula>"ITAÚ MATRIZ"</formula>
    </cfRule>
    <cfRule type="cellIs" dxfId="7543" priority="11184" operator="between">
      <formula>"ITAÚ FILIAL"</formula>
      <formula>"ITAÚ FILIAL"</formula>
    </cfRule>
    <cfRule type="cellIs" dxfId="7542" priority="11183" operator="between">
      <formula>"ITAÚ FILIAL"</formula>
      <formula>"ITAÚ FILIAL"</formula>
    </cfRule>
    <cfRule type="cellIs" dxfId="7541" priority="11182" operator="between">
      <formula>"DAYCOVAL"</formula>
      <formula>"DAYCOVAL"</formula>
    </cfRule>
    <cfRule type="cellIs" dxfId="7540" priority="11181" operator="between">
      <formula>"SAFRA"</formula>
      <formula>"SAFRA"</formula>
    </cfRule>
    <cfRule type="cellIs" dxfId="7539" priority="11180" operator="between">
      <formula>"SAFRA"</formula>
      <formula>"SAFRA"</formula>
    </cfRule>
    <cfRule type="cellIs" dxfId="7538" priority="11179" operator="equal">
      <formula>"ITAÚ MATRIZ"</formula>
    </cfRule>
    <cfRule type="cellIs" dxfId="7537" priority="11178" operator="equal">
      <formula>"ITAÚ"</formula>
    </cfRule>
    <cfRule type="cellIs" dxfId="7536" priority="11177" operator="equal">
      <formula>"ITAÚ"</formula>
    </cfRule>
    <cfRule type="cellIs" dxfId="7535" priority="11176" operator="between">
      <formula>"ITAÚ MATRIZ"</formula>
      <formula>"ITAÚ MATRIZ"</formula>
    </cfRule>
    <cfRule type="cellIs" dxfId="7534" priority="10962" operator="between">
      <formula>"SAFRA"</formula>
      <formula>"SAFRA"</formula>
    </cfRule>
  </conditionalFormatting>
  <conditionalFormatting sqref="I25:I42">
    <cfRule type="cellIs" dxfId="7533" priority="10506" operator="between">
      <formula>"ITAÚ FILIAL"</formula>
      <formula>"ITAÚ FILIAL"</formula>
    </cfRule>
    <cfRule type="cellIs" dxfId="7532" priority="10505" operator="between">
      <formula>"DAYCOVAL"</formula>
      <formula>"DAYCOVAL"</formula>
    </cfRule>
    <cfRule type="cellIs" dxfId="7531" priority="10509" operator="equal">
      <formula>"ITAÚ MATRIZ"</formula>
    </cfRule>
    <cfRule type="cellIs" dxfId="7530" priority="10510" operator="between">
      <formula>"ITAÚ MATRIZ"</formula>
      <formula>"ITAÚ MATRIZ"</formula>
    </cfRule>
    <cfRule type="cellIs" dxfId="7529" priority="10511" operator="equal">
      <formula>"ITAÚ"</formula>
    </cfRule>
    <cfRule type="cellIs" dxfId="7528" priority="10507" operator="between">
      <formula>"ITAÚ FILIAL"</formula>
      <formula>"ITAÚ FILIAL"</formula>
    </cfRule>
    <cfRule type="cellIs" dxfId="7527" priority="10508" operator="equal">
      <formula>"ITAÚ"</formula>
    </cfRule>
    <cfRule type="cellIs" dxfId="7526" priority="10503" operator="between">
      <formula>"SAFRA"</formula>
      <formula>"SAFRA"</formula>
    </cfRule>
    <cfRule type="cellIs" dxfId="7525" priority="10504" operator="between">
      <formula>"SAFRA"</formula>
      <formula>"SAFRA"</formula>
    </cfRule>
  </conditionalFormatting>
  <conditionalFormatting sqref="I26">
    <cfRule type="cellIs" dxfId="7524" priority="10314" operator="equal">
      <formula>"ITAÚ MATRIZ"</formula>
    </cfRule>
    <cfRule type="cellIs" dxfId="7523" priority="10317" operator="between">
      <formula>"DAYCOVAL"</formula>
      <formula>"DAYCOVAL"</formula>
    </cfRule>
    <cfRule type="cellIs" dxfId="7522" priority="10323" operator="equal">
      <formula>"ITAÚ MATRIZ"</formula>
    </cfRule>
    <cfRule type="cellIs" dxfId="7521" priority="10324" operator="between">
      <formula>"SAFRA"</formula>
      <formula>"SAFRA"</formula>
    </cfRule>
    <cfRule type="cellIs" dxfId="7520" priority="10325" operator="between">
      <formula>"SAFRA"</formula>
      <formula>"SAFRA"</formula>
    </cfRule>
    <cfRule type="cellIs" dxfId="7519" priority="10326" operator="between">
      <formula>"DAYCOVAL"</formula>
      <formula>"DAYCOVAL"</formula>
    </cfRule>
    <cfRule type="cellIs" dxfId="7518" priority="10327" operator="between">
      <formula>"ITAÚ FILIAL"</formula>
      <formula>"ITAÚ FILIAL"</formula>
    </cfRule>
    <cfRule type="cellIs" dxfId="7517" priority="10328" operator="between">
      <formula>"ITAÚ FILIAL"</formula>
      <formula>"ITAÚ FILIAL"</formula>
    </cfRule>
    <cfRule type="cellIs" dxfId="7516" priority="10329" operator="between">
      <formula>"ITAÚ MATRIZ"</formula>
      <formula>"ITAÚ MATRIZ"</formula>
    </cfRule>
    <cfRule type="cellIs" dxfId="7515" priority="10330" operator="equal">
      <formula>"ITAÚ"</formula>
    </cfRule>
    <cfRule type="cellIs" dxfId="7514" priority="10331" operator="equal">
      <formula>"ITAÚ"</formula>
    </cfRule>
    <cfRule type="cellIs" dxfId="7513" priority="10332" operator="between">
      <formula>"SAFRA"</formula>
      <formula>"SAFRA"</formula>
    </cfRule>
    <cfRule type="cellIs" dxfId="7512" priority="10333" operator="between">
      <formula>"SAFRA"</formula>
      <formula>"SAFRA"</formula>
    </cfRule>
    <cfRule type="cellIs" dxfId="7511" priority="10334" operator="between">
      <formula>"DAYCOVAL"</formula>
      <formula>"DAYCOVAL"</formula>
    </cfRule>
    <cfRule type="cellIs" dxfId="7510" priority="10335" operator="between">
      <formula>"ITAÚ FILIAL"</formula>
      <formula>"ITAÚ FILIAL"</formula>
    </cfRule>
    <cfRule type="cellIs" dxfId="7509" priority="10336" operator="between">
      <formula>"ITAÚ FILIAL"</formula>
      <formula>"ITAÚ FILIAL"</formula>
    </cfRule>
    <cfRule type="cellIs" dxfId="7508" priority="10337" operator="equal">
      <formula>"ITAÚ"</formula>
    </cfRule>
    <cfRule type="cellIs" dxfId="7507" priority="10338" operator="equal">
      <formula>"ITAÚ MATRIZ"</formula>
    </cfRule>
    <cfRule type="cellIs" dxfId="7506" priority="10339" operator="between">
      <formula>"ITAÚ MATRIZ"</formula>
      <formula>"ITAÚ MATRIZ"</formula>
    </cfRule>
    <cfRule type="cellIs" dxfId="7505" priority="10340" operator="equal">
      <formula>"ITAÚ"</formula>
    </cfRule>
    <cfRule type="cellIs" dxfId="7504" priority="10341" operator="equal">
      <formula>"ITAÚ MATRIZ"</formula>
    </cfRule>
    <cfRule type="cellIs" dxfId="7503" priority="10342" operator="between">
      <formula>"SAFRA"</formula>
      <formula>"SAFRA"</formula>
    </cfRule>
    <cfRule type="cellIs" dxfId="7502" priority="10343" operator="between">
      <formula>"SAFRA"</formula>
      <formula>"SAFRA"</formula>
    </cfRule>
    <cfRule type="cellIs" dxfId="7501" priority="10344" operator="between">
      <formula>"DAYCOVAL"</formula>
      <formula>"DAYCOVAL"</formula>
    </cfRule>
    <cfRule type="cellIs" dxfId="7500" priority="10345" operator="between">
      <formula>"ITAÚ FILIAL"</formula>
      <formula>"ITAÚ FILIAL"</formula>
    </cfRule>
    <cfRule type="cellIs" dxfId="7499" priority="10346" operator="between">
      <formula>"ITAÚ FILIAL"</formula>
      <formula>"ITAÚ FILIAL"</formula>
    </cfRule>
    <cfRule type="cellIs" dxfId="7498" priority="10347" operator="between">
      <formula>"ITAÚ MATRIZ"</formula>
      <formula>"ITAÚ MATRIZ"</formula>
    </cfRule>
    <cfRule type="cellIs" dxfId="7497" priority="10348" operator="equal">
      <formula>"ITAÚ"</formula>
    </cfRule>
    <cfRule type="cellIs" dxfId="7496" priority="10349" operator="equal">
      <formula>"ITAÚ"</formula>
    </cfRule>
    <cfRule type="cellIs" dxfId="7495" priority="10350" operator="equal">
      <formula>"ITAÚ MATRIZ"</formula>
    </cfRule>
    <cfRule type="cellIs" dxfId="7494" priority="10351" operator="between">
      <formula>"SAFRA"</formula>
      <formula>"SAFRA"</formula>
    </cfRule>
    <cfRule type="cellIs" dxfId="7493" priority="10352" operator="between">
      <formula>"SAFRA"</formula>
      <formula>"SAFRA"</formula>
    </cfRule>
    <cfRule type="cellIs" dxfId="7492" priority="10353" operator="between">
      <formula>"DAYCOVAL"</formula>
      <formula>"DAYCOVAL"</formula>
    </cfRule>
    <cfRule type="cellIs" dxfId="7491" priority="10354" operator="between">
      <formula>"ITAÚ FILIAL"</formula>
      <formula>"ITAÚ FILIAL"</formula>
    </cfRule>
    <cfRule type="cellIs" dxfId="7490" priority="10355" operator="between">
      <formula>"ITAÚ FILIAL"</formula>
      <formula>"ITAÚ FILIAL"</formula>
    </cfRule>
    <cfRule type="cellIs" dxfId="7489" priority="10356" operator="between">
      <formula>"ITAÚ MATRIZ"</formula>
      <formula>"ITAÚ MATRIZ"</formula>
    </cfRule>
    <cfRule type="cellIs" dxfId="7488" priority="10357" operator="equal">
      <formula>"ITAÚ"</formula>
    </cfRule>
    <cfRule type="cellIs" dxfId="7487" priority="10358" operator="equal">
      <formula>"ITAÚ"</formula>
    </cfRule>
    <cfRule type="cellIs" dxfId="7486" priority="10359" operator="equal">
      <formula>"ITAÚ MATRIZ"</formula>
    </cfRule>
    <cfRule type="cellIs" dxfId="7485" priority="10360" operator="between">
      <formula>"SAFRA"</formula>
      <formula>"SAFRA"</formula>
    </cfRule>
    <cfRule type="cellIs" dxfId="7484" priority="10361" operator="between">
      <formula>"SAFRA"</formula>
      <formula>"SAFRA"</formula>
    </cfRule>
    <cfRule type="cellIs" dxfId="7483" priority="10362" operator="between">
      <formula>"DAYCOVAL"</formula>
      <formula>"DAYCOVAL"</formula>
    </cfRule>
    <cfRule type="cellIs" dxfId="7482" priority="10363" operator="between">
      <formula>"ITAÚ FILIAL"</formula>
      <formula>"ITAÚ FILIAL"</formula>
    </cfRule>
    <cfRule type="cellIs" dxfId="7481" priority="10364" operator="between">
      <formula>"ITAÚ FILIAL"</formula>
      <formula>"ITAÚ FILIAL"</formula>
    </cfRule>
    <cfRule type="cellIs" dxfId="7480" priority="10365" operator="between">
      <formula>"ITAÚ MATRIZ"</formula>
      <formula>"ITAÚ MATRIZ"</formula>
    </cfRule>
    <cfRule type="cellIs" dxfId="7479" priority="10366" operator="equal">
      <formula>"ITAÚ"</formula>
    </cfRule>
    <cfRule type="cellIs" dxfId="7478" priority="10367" operator="equal">
      <formula>"ITAÚ"</formula>
    </cfRule>
    <cfRule type="cellIs" dxfId="7477" priority="10368" operator="equal">
      <formula>"ITAÚ MATRIZ"</formula>
    </cfRule>
    <cfRule type="cellIs" dxfId="7476" priority="10369" operator="between">
      <formula>"SAFRA"</formula>
      <formula>"SAFRA"</formula>
    </cfRule>
    <cfRule type="cellIs" dxfId="7475" priority="10370" operator="between">
      <formula>"SAFRA"</formula>
      <formula>"SAFRA"</formula>
    </cfRule>
    <cfRule type="cellIs" dxfId="7474" priority="10371" operator="between">
      <formula>"DAYCOVAL"</formula>
      <formula>"DAYCOVAL"</formula>
    </cfRule>
    <cfRule type="cellIs" dxfId="7473" priority="10372" operator="between">
      <formula>"ITAÚ FILIAL"</formula>
      <formula>"ITAÚ FILIAL"</formula>
    </cfRule>
    <cfRule type="cellIs" dxfId="7472" priority="10373" operator="between">
      <formula>"ITAÚ FILIAL"</formula>
      <formula>"ITAÚ FILIAL"</formula>
    </cfRule>
    <cfRule type="cellIs" dxfId="7471" priority="10374" operator="between">
      <formula>"ITAÚ MATRIZ"</formula>
      <formula>"ITAÚ MATRIZ"</formula>
    </cfRule>
    <cfRule type="cellIs" dxfId="7470" priority="10375" operator="equal">
      <formula>"ITAÚ"</formula>
    </cfRule>
    <cfRule type="cellIs" dxfId="7469" priority="10376" operator="equal">
      <formula>"ITAÚ"</formula>
    </cfRule>
    <cfRule type="cellIs" dxfId="7468" priority="10377" operator="equal">
      <formula>"ITAÚ MATRIZ"</formula>
    </cfRule>
    <cfRule type="cellIs" dxfId="7467" priority="10378" operator="between">
      <formula>"SAFRA"</formula>
      <formula>"SAFRA"</formula>
    </cfRule>
    <cfRule type="cellIs" dxfId="7466" priority="10379" operator="between">
      <formula>"SAFRA"</formula>
      <formula>"SAFRA"</formula>
    </cfRule>
    <cfRule type="cellIs" dxfId="7465" priority="10380" operator="between">
      <formula>"DAYCOVAL"</formula>
      <formula>"DAYCOVAL"</formula>
    </cfRule>
    <cfRule type="cellIs" dxfId="7464" priority="10381" operator="between">
      <formula>"ITAÚ FILIAL"</formula>
      <formula>"ITAÚ FILIAL"</formula>
    </cfRule>
    <cfRule type="cellIs" dxfId="7463" priority="10382" operator="between">
      <formula>"ITAÚ FILIAL"</formula>
      <formula>"ITAÚ FILIAL"</formula>
    </cfRule>
    <cfRule type="cellIs" dxfId="7462" priority="10383" operator="between">
      <formula>"ITAÚ MATRIZ"</formula>
      <formula>"ITAÚ MATRIZ"</formula>
    </cfRule>
    <cfRule type="cellIs" dxfId="7461" priority="10384" operator="equal">
      <formula>"ITAÚ"</formula>
    </cfRule>
    <cfRule type="cellIs" dxfId="7460" priority="10385" operator="equal">
      <formula>"ITAÚ"</formula>
    </cfRule>
    <cfRule type="cellIs" dxfId="7459" priority="10386" operator="between">
      <formula>"SAFRA"</formula>
      <formula>"SAFRA"</formula>
    </cfRule>
    <cfRule type="cellIs" dxfId="7458" priority="10387" operator="between">
      <formula>"SAFRA"</formula>
      <formula>"SAFRA"</formula>
    </cfRule>
    <cfRule type="cellIs" dxfId="7457" priority="10388" operator="between">
      <formula>"DAYCOVAL"</formula>
      <formula>"DAYCOVAL"</formula>
    </cfRule>
    <cfRule type="cellIs" dxfId="7456" priority="10389" operator="between">
      <formula>"ITAÚ FILIAL"</formula>
      <formula>"ITAÚ FILIAL"</formula>
    </cfRule>
    <cfRule type="cellIs" dxfId="7455" priority="10390" operator="between">
      <formula>"ITAÚ FILIAL"</formula>
      <formula>"ITAÚ FILIAL"</formula>
    </cfRule>
    <cfRule type="cellIs" dxfId="7454" priority="10391" operator="equal">
      <formula>"ITAÚ"</formula>
    </cfRule>
    <cfRule type="cellIs" dxfId="7453" priority="10392" operator="equal">
      <formula>"ITAÚ MATRIZ"</formula>
    </cfRule>
    <cfRule type="cellIs" dxfId="7452" priority="10393" operator="between">
      <formula>"ITAÚ MATRIZ"</formula>
      <formula>"ITAÚ MATRIZ"</formula>
    </cfRule>
    <cfRule type="cellIs" dxfId="7451" priority="10394" operator="equal">
      <formula>"ITAÚ"</formula>
    </cfRule>
    <cfRule type="cellIs" dxfId="7450" priority="10395" operator="equal">
      <formula>"ITAÚ MATRIZ"</formula>
    </cfRule>
    <cfRule type="cellIs" dxfId="7449" priority="10396" operator="between">
      <formula>"SAFRA"</formula>
      <formula>"SAFRA"</formula>
    </cfRule>
    <cfRule type="cellIs" dxfId="7448" priority="10397" operator="between">
      <formula>"SAFRA"</formula>
      <formula>"SAFRA"</formula>
    </cfRule>
    <cfRule type="cellIs" dxfId="7447" priority="10398" operator="between">
      <formula>"DAYCOVAL"</formula>
      <formula>"DAYCOVAL"</formula>
    </cfRule>
    <cfRule type="cellIs" dxfId="7446" priority="10399" operator="between">
      <formula>"ITAÚ FILIAL"</formula>
      <formula>"ITAÚ FILIAL"</formula>
    </cfRule>
    <cfRule type="cellIs" dxfId="7445" priority="10400" operator="between">
      <formula>"ITAÚ FILIAL"</formula>
      <formula>"ITAÚ FILIAL"</formula>
    </cfRule>
    <cfRule type="cellIs" dxfId="7444" priority="10401" operator="between">
      <formula>"ITAÚ MATRIZ"</formula>
      <formula>"ITAÚ MATRIZ"</formula>
    </cfRule>
    <cfRule type="cellIs" dxfId="7443" priority="10402" operator="equal">
      <formula>"ITAÚ"</formula>
    </cfRule>
    <cfRule type="cellIs" dxfId="7442" priority="10403" operator="equal">
      <formula>"ITAÚ"</formula>
    </cfRule>
    <cfRule type="cellIs" dxfId="7441" priority="10404" operator="between">
      <formula>"SAFRA"</formula>
      <formula>"SAFRA"</formula>
    </cfRule>
    <cfRule type="cellIs" dxfId="7440" priority="10405" operator="between">
      <formula>"SAFRA"</formula>
      <formula>"SAFRA"</formula>
    </cfRule>
    <cfRule type="cellIs" dxfId="7439" priority="10406" operator="between">
      <formula>"DAYCOVAL"</formula>
      <formula>"DAYCOVAL"</formula>
    </cfRule>
    <cfRule type="cellIs" dxfId="7438" priority="10407" operator="between">
      <formula>"ITAÚ FILIAL"</formula>
      <formula>"ITAÚ FILIAL"</formula>
    </cfRule>
    <cfRule type="cellIs" dxfId="7437" priority="10408" operator="between">
      <formula>"ITAÚ FILIAL"</formula>
      <formula>"ITAÚ FILIAL"</formula>
    </cfRule>
    <cfRule type="cellIs" dxfId="7436" priority="10409" operator="equal">
      <formula>"ITAÚ"</formula>
    </cfRule>
    <cfRule type="cellIs" dxfId="7435" priority="10321" operator="equal">
      <formula>"ITAÚ"</formula>
    </cfRule>
    <cfRule type="cellIs" dxfId="7434" priority="10410" operator="equal">
      <formula>"ITAÚ MATRIZ"</formula>
    </cfRule>
    <cfRule type="cellIs" dxfId="7433" priority="10320" operator="between">
      <formula>"ITAÚ MATRIZ"</formula>
      <formula>"ITAÚ MATRIZ"</formula>
    </cfRule>
    <cfRule type="cellIs" dxfId="7432" priority="10411" operator="between">
      <formula>"ITAÚ MATRIZ"</formula>
      <formula>"ITAÚ MATRIZ"</formula>
    </cfRule>
    <cfRule type="cellIs" dxfId="7431" priority="10412" operator="equal">
      <formula>"ITAÚ"</formula>
    </cfRule>
    <cfRule type="cellIs" dxfId="7430" priority="10413" operator="equal">
      <formula>"ITAÚ MATRIZ"</formula>
    </cfRule>
    <cfRule type="cellIs" dxfId="7429" priority="10318" operator="between">
      <formula>"ITAÚ FILIAL"</formula>
      <formula>"ITAÚ FILIAL"</formula>
    </cfRule>
    <cfRule type="cellIs" dxfId="7428" priority="10415" operator="between">
      <formula>"SAFRA"</formula>
      <formula>"SAFRA"</formula>
    </cfRule>
    <cfRule type="cellIs" dxfId="7427" priority="10416" operator="between">
      <formula>"DAYCOVAL"</formula>
      <formula>"DAYCOVAL"</formula>
    </cfRule>
    <cfRule type="cellIs" dxfId="7426" priority="10417" operator="between">
      <formula>"ITAÚ FILIAL"</formula>
      <formula>"ITAÚ FILIAL"</formula>
    </cfRule>
    <cfRule type="cellIs" dxfId="7425" priority="10418" operator="between">
      <formula>"ITAÚ FILIAL"</formula>
      <formula>"ITAÚ FILIAL"</formula>
    </cfRule>
    <cfRule type="cellIs" dxfId="7424" priority="10419" operator="between">
      <formula>"ITAÚ MATRIZ"</formula>
      <formula>"ITAÚ MATRIZ"</formula>
    </cfRule>
    <cfRule type="cellIs" dxfId="7423" priority="10420" operator="equal">
      <formula>"ITAÚ"</formula>
    </cfRule>
    <cfRule type="cellIs" dxfId="7422" priority="10421" operator="equal">
      <formula>"ITAÚ"</formula>
    </cfRule>
    <cfRule type="cellIs" dxfId="7421" priority="10422" operator="equal">
      <formula>"ITAÚ MATRIZ"</formula>
    </cfRule>
    <cfRule type="cellIs" dxfId="7420" priority="10423" operator="between">
      <formula>"SAFRA"</formula>
      <formula>"SAFRA"</formula>
    </cfRule>
    <cfRule type="cellIs" dxfId="7419" priority="10424" operator="between">
      <formula>"SAFRA"</formula>
      <formula>"SAFRA"</formula>
    </cfRule>
    <cfRule type="cellIs" dxfId="7418" priority="10425" operator="between">
      <formula>"DAYCOVAL"</formula>
      <formula>"DAYCOVAL"</formula>
    </cfRule>
    <cfRule type="cellIs" dxfId="7417" priority="10426" operator="between">
      <formula>"ITAÚ FILIAL"</formula>
      <formula>"ITAÚ FILIAL"</formula>
    </cfRule>
    <cfRule type="cellIs" dxfId="7416" priority="10427" operator="between">
      <formula>"ITAÚ FILIAL"</formula>
      <formula>"ITAÚ FILIAL"</formula>
    </cfRule>
    <cfRule type="cellIs" dxfId="7415" priority="10428" operator="between">
      <formula>"ITAÚ MATRIZ"</formula>
      <formula>"ITAÚ MATRIZ"</formula>
    </cfRule>
    <cfRule type="cellIs" dxfId="7414" priority="10429" operator="equal">
      <formula>"ITAÚ"</formula>
    </cfRule>
    <cfRule type="cellIs" dxfId="7413" priority="10430" operator="equal">
      <formula>"ITAÚ"</formula>
    </cfRule>
    <cfRule type="cellIs" dxfId="7412" priority="10431" operator="equal">
      <formula>"ITAÚ MATRIZ"</formula>
    </cfRule>
    <cfRule type="cellIs" dxfId="7411" priority="10432" operator="between">
      <formula>"SAFRA"</formula>
      <formula>"SAFRA"</formula>
    </cfRule>
    <cfRule type="cellIs" dxfId="7410" priority="10433" operator="between">
      <formula>"SAFRA"</formula>
      <formula>"SAFRA"</formula>
    </cfRule>
    <cfRule type="cellIs" dxfId="7409" priority="10434" operator="between">
      <formula>"DAYCOVAL"</formula>
      <formula>"DAYCOVAL"</formula>
    </cfRule>
    <cfRule type="cellIs" dxfId="7408" priority="10435" operator="between">
      <formula>"ITAÚ FILIAL"</formula>
      <formula>"ITAÚ FILIAL"</formula>
    </cfRule>
    <cfRule type="cellIs" dxfId="7407" priority="10436" operator="between">
      <formula>"ITAÚ FILIAL"</formula>
      <formula>"ITAÚ FILIAL"</formula>
    </cfRule>
    <cfRule type="cellIs" dxfId="7406" priority="10437" operator="between">
      <formula>"ITAÚ MATRIZ"</formula>
      <formula>"ITAÚ MATRIZ"</formula>
    </cfRule>
    <cfRule type="cellIs" dxfId="7405" priority="10438" operator="equal">
      <formula>"ITAÚ"</formula>
    </cfRule>
    <cfRule type="cellIs" dxfId="7404" priority="10439" operator="equal">
      <formula>"ITAÚ"</formula>
    </cfRule>
    <cfRule type="cellIs" dxfId="7403" priority="10440" operator="equal">
      <formula>"ITAÚ MATRIZ"</formula>
    </cfRule>
    <cfRule type="cellIs" dxfId="7402" priority="10441" operator="between">
      <formula>"SAFRA"</formula>
      <formula>"SAFRA"</formula>
    </cfRule>
    <cfRule type="cellIs" dxfId="7401" priority="10442" operator="between">
      <formula>"SAFRA"</formula>
      <formula>"SAFRA"</formula>
    </cfRule>
    <cfRule type="cellIs" dxfId="7400" priority="10443" operator="between">
      <formula>"DAYCOVAL"</formula>
      <formula>"DAYCOVAL"</formula>
    </cfRule>
    <cfRule type="cellIs" dxfId="7399" priority="10444" operator="between">
      <formula>"ITAÚ FILIAL"</formula>
      <formula>"ITAÚ FILIAL"</formula>
    </cfRule>
    <cfRule type="cellIs" dxfId="7398" priority="10445" operator="between">
      <formula>"ITAÚ FILIAL"</formula>
      <formula>"ITAÚ FILIAL"</formula>
    </cfRule>
    <cfRule type="cellIs" dxfId="7397" priority="10446" operator="between">
      <formula>"ITAÚ MATRIZ"</formula>
      <formula>"ITAÚ MATRIZ"</formula>
    </cfRule>
    <cfRule type="cellIs" dxfId="7396" priority="10447" operator="equal">
      <formula>"ITAÚ"</formula>
    </cfRule>
    <cfRule type="cellIs" dxfId="7395" priority="10448" operator="equal">
      <formula>"ITAÚ"</formula>
    </cfRule>
    <cfRule type="cellIs" dxfId="7394" priority="10449" operator="equal">
      <formula>"ITAÚ MATRIZ"</formula>
    </cfRule>
    <cfRule type="cellIs" dxfId="7393" priority="10450" operator="between">
      <formula>"SAFRA"</formula>
      <formula>"SAFRA"</formula>
    </cfRule>
    <cfRule type="cellIs" dxfId="7392" priority="10451" operator="between">
      <formula>"SAFRA"</formula>
      <formula>"SAFRA"</formula>
    </cfRule>
    <cfRule type="cellIs" dxfId="7391" priority="10452" operator="between">
      <formula>"DAYCOVAL"</formula>
      <formula>"DAYCOVAL"</formula>
    </cfRule>
    <cfRule type="cellIs" dxfId="7390" priority="10453" operator="between">
      <formula>"ITAÚ FILIAL"</formula>
      <formula>"ITAÚ FILIAL"</formula>
    </cfRule>
    <cfRule type="cellIs" dxfId="7389" priority="10454" operator="between">
      <formula>"ITAÚ FILIAL"</formula>
      <formula>"ITAÚ FILIAL"</formula>
    </cfRule>
    <cfRule type="cellIs" dxfId="7388" priority="10455" operator="between">
      <formula>"ITAÚ MATRIZ"</formula>
      <formula>"ITAÚ MATRIZ"</formula>
    </cfRule>
    <cfRule type="cellIs" dxfId="7387" priority="10456" operator="equal">
      <formula>"ITAÚ"</formula>
    </cfRule>
    <cfRule type="cellIs" dxfId="7386" priority="10457" operator="equal">
      <formula>"ITAÚ"</formula>
    </cfRule>
    <cfRule type="cellIs" dxfId="7385" priority="10458" operator="between">
      <formula>"SAFRA"</formula>
      <formula>"SAFRA"</formula>
    </cfRule>
    <cfRule type="cellIs" dxfId="7384" priority="10459" operator="between">
      <formula>"SAFRA"</formula>
      <formula>"SAFRA"</formula>
    </cfRule>
    <cfRule type="cellIs" dxfId="7383" priority="10460" operator="between">
      <formula>"DAYCOVAL"</formula>
      <formula>"DAYCOVAL"</formula>
    </cfRule>
    <cfRule type="cellIs" dxfId="7382" priority="10461" operator="between">
      <formula>"ITAÚ FILIAL"</formula>
      <formula>"ITAÚ FILIAL"</formula>
    </cfRule>
    <cfRule type="cellIs" dxfId="7381" priority="10462" operator="between">
      <formula>"ITAÚ FILIAL"</formula>
      <formula>"ITAÚ FILIAL"</formula>
    </cfRule>
    <cfRule type="cellIs" dxfId="7380" priority="10463" operator="equal">
      <formula>"ITAÚ"</formula>
    </cfRule>
    <cfRule type="cellIs" dxfId="7379" priority="10464" operator="equal">
      <formula>"ITAÚ MATRIZ"</formula>
    </cfRule>
    <cfRule type="cellIs" dxfId="7378" priority="10465" operator="between">
      <formula>"ITAÚ MATRIZ"</formula>
      <formula>"ITAÚ MATRIZ"</formula>
    </cfRule>
    <cfRule type="cellIs" dxfId="7377" priority="10466" operator="equal">
      <formula>"ITAÚ"</formula>
    </cfRule>
    <cfRule type="cellIs" dxfId="7376" priority="10467" operator="equal">
      <formula>"ITAÚ MATRIZ"</formula>
    </cfRule>
    <cfRule type="cellIs" dxfId="7375" priority="10468" operator="between">
      <formula>"SAFRA"</formula>
      <formula>"SAFRA"</formula>
    </cfRule>
    <cfRule type="cellIs" dxfId="7374" priority="10469" operator="between">
      <formula>"SAFRA"</formula>
      <formula>"SAFRA"</formula>
    </cfRule>
    <cfRule type="cellIs" dxfId="7373" priority="10470" operator="between">
      <formula>"DAYCOVAL"</formula>
      <formula>"DAYCOVAL"</formula>
    </cfRule>
    <cfRule type="cellIs" dxfId="7372" priority="10471" operator="between">
      <formula>"ITAÚ FILIAL"</formula>
      <formula>"ITAÚ FILIAL"</formula>
    </cfRule>
    <cfRule type="cellIs" dxfId="7371" priority="10472" operator="between">
      <formula>"ITAÚ FILIAL"</formula>
      <formula>"ITAÚ FILIAL"</formula>
    </cfRule>
    <cfRule type="cellIs" dxfId="7370" priority="10473" operator="between">
      <formula>"ITAÚ MATRIZ"</formula>
      <formula>"ITAÚ MATRIZ"</formula>
    </cfRule>
    <cfRule type="cellIs" dxfId="7369" priority="10474" operator="equal">
      <formula>"ITAÚ"</formula>
    </cfRule>
    <cfRule type="cellIs" dxfId="7368" priority="10475" operator="equal">
      <formula>"ITAÚ"</formula>
    </cfRule>
    <cfRule type="cellIs" dxfId="7367" priority="10476" operator="between">
      <formula>"SAFRA"</formula>
      <formula>"SAFRA"</formula>
    </cfRule>
    <cfRule type="cellIs" dxfId="7366" priority="10477" operator="between">
      <formula>"SAFRA"</formula>
      <formula>"SAFRA"</formula>
    </cfRule>
    <cfRule type="cellIs" dxfId="7365" priority="10478" operator="between">
      <formula>"DAYCOVAL"</formula>
      <formula>"DAYCOVAL"</formula>
    </cfRule>
    <cfRule type="cellIs" dxfId="7364" priority="10479" operator="between">
      <formula>"ITAÚ FILIAL"</formula>
      <formula>"ITAÚ FILIAL"</formula>
    </cfRule>
    <cfRule type="cellIs" dxfId="7363" priority="10480" operator="between">
      <formula>"ITAÚ FILIAL"</formula>
      <formula>"ITAÚ FILIAL"</formula>
    </cfRule>
    <cfRule type="cellIs" dxfId="7362" priority="10481" operator="equal">
      <formula>"ITAÚ"</formula>
    </cfRule>
    <cfRule type="cellIs" dxfId="7361" priority="10482" operator="equal">
      <formula>"ITAÚ MATRIZ"</formula>
    </cfRule>
    <cfRule type="cellIs" dxfId="7360" priority="10483" operator="between">
      <formula>"ITAÚ MATRIZ"</formula>
      <formula>"ITAÚ MATRIZ"</formula>
    </cfRule>
    <cfRule type="cellIs" dxfId="7359" priority="10484" operator="equal">
      <formula>"ITAÚ"</formula>
    </cfRule>
    <cfRule type="cellIs" dxfId="7358" priority="10485" operator="equal">
      <formula>"ITAÚ MATRIZ"</formula>
    </cfRule>
    <cfRule type="cellIs" dxfId="7357" priority="10486" operator="between">
      <formula>"SAFRA"</formula>
      <formula>"SAFRA"</formula>
    </cfRule>
    <cfRule type="cellIs" dxfId="7356" priority="10487" operator="between">
      <formula>"SAFRA"</formula>
      <formula>"SAFRA"</formula>
    </cfRule>
    <cfRule type="cellIs" dxfId="7355" priority="10488" operator="between">
      <formula>"DAYCOVAL"</formula>
      <formula>"DAYCOVAL"</formula>
    </cfRule>
    <cfRule type="cellIs" dxfId="7354" priority="10489" operator="between">
      <formula>"ITAÚ FILIAL"</formula>
      <formula>"ITAÚ FILIAL"</formula>
    </cfRule>
    <cfRule type="cellIs" dxfId="7353" priority="10490" operator="between">
      <formula>"ITAÚ FILIAL"</formula>
      <formula>"ITAÚ FILIAL"</formula>
    </cfRule>
    <cfRule type="cellIs" dxfId="7352" priority="10491" operator="between">
      <formula>"ITAÚ MATRIZ"</formula>
      <formula>"ITAÚ MATRIZ"</formula>
    </cfRule>
    <cfRule type="cellIs" dxfId="7351" priority="10492" operator="equal">
      <formula>"ITAÚ"</formula>
    </cfRule>
    <cfRule type="cellIs" dxfId="7350" priority="10493" operator="equal">
      <formula>"ITAÚ"</formula>
    </cfRule>
    <cfRule type="cellIs" dxfId="7349" priority="10494" operator="between">
      <formula>"SAFRA"</formula>
      <formula>"SAFRA"</formula>
    </cfRule>
    <cfRule type="cellIs" dxfId="7348" priority="10495" operator="between">
      <formula>"SAFRA"</formula>
      <formula>"SAFRA"</formula>
    </cfRule>
    <cfRule type="cellIs" dxfId="7347" priority="10496" operator="between">
      <formula>"DAYCOVAL"</formula>
      <formula>"DAYCOVAL"</formula>
    </cfRule>
    <cfRule type="cellIs" dxfId="7346" priority="10497" operator="between">
      <formula>"ITAÚ FILIAL"</formula>
      <formula>"ITAÚ FILIAL"</formula>
    </cfRule>
    <cfRule type="cellIs" dxfId="7345" priority="10498" operator="between">
      <formula>"ITAÚ FILIAL"</formula>
      <formula>"ITAÚ FILIAL"</formula>
    </cfRule>
    <cfRule type="cellIs" dxfId="7344" priority="10499" operator="equal">
      <formula>"ITAÚ"</formula>
    </cfRule>
    <cfRule type="cellIs" dxfId="7343" priority="10500" operator="equal">
      <formula>"ITAÚ MATRIZ"</formula>
    </cfRule>
    <cfRule type="cellIs" dxfId="7342" priority="10501" operator="between">
      <formula>"ITAÚ MATRIZ"</formula>
      <formula>"ITAÚ MATRIZ"</formula>
    </cfRule>
    <cfRule type="cellIs" dxfId="7341" priority="10502" operator="equal">
      <formula>"ITAÚ"</formula>
    </cfRule>
    <cfRule type="cellIs" dxfId="7340" priority="10319" operator="between">
      <formula>"ITAÚ FILIAL"</formula>
      <formula>"ITAÚ FILIAL"</formula>
    </cfRule>
    <cfRule type="cellIs" dxfId="7339" priority="10316" operator="between">
      <formula>"SAFRA"</formula>
      <formula>"SAFRA"</formula>
    </cfRule>
    <cfRule type="cellIs" dxfId="7338" priority="10322" operator="equal">
      <formula>"ITAÚ"</formula>
    </cfRule>
    <cfRule type="cellIs" dxfId="7337" priority="10315" operator="between">
      <formula>"SAFRA"</formula>
      <formula>"SAFRA"</formula>
    </cfRule>
    <cfRule type="cellIs" dxfId="7336" priority="10414" operator="between">
      <formula>"SAFRA"</formula>
      <formula>"SAFRA"</formula>
    </cfRule>
  </conditionalFormatting>
  <conditionalFormatting sqref="I27:I42">
    <cfRule type="cellIs" dxfId="7335" priority="10836" operator="between">
      <formula>"ITAÚ FILIAL"</formula>
      <formula>"ITAÚ FILIAL"</formula>
    </cfRule>
    <cfRule type="cellIs" dxfId="7334" priority="10840" operator="equal">
      <formula>"ITAÚ"</formula>
    </cfRule>
    <cfRule type="cellIs" dxfId="7333" priority="10933" operator="between">
      <formula>"DAYCOVAL"</formula>
      <formula>"DAYCOVAL"</formula>
    </cfRule>
    <cfRule type="cellIs" dxfId="7332" priority="10932" operator="between">
      <formula>"SAFRA"</formula>
      <formula>"SAFRA"</formula>
    </cfRule>
    <cfRule type="cellIs" dxfId="7331" priority="10931" operator="between">
      <formula>"SAFRA"</formula>
      <formula>"SAFRA"</formula>
    </cfRule>
    <cfRule type="cellIs" dxfId="7330" priority="10930" operator="equal">
      <formula>"ITAÚ"</formula>
    </cfRule>
    <cfRule type="cellIs" dxfId="7329" priority="10929" operator="between">
      <formula>"ITAÚ MATRIZ"</formula>
      <formula>"ITAÚ MATRIZ"</formula>
    </cfRule>
    <cfRule type="cellIs" dxfId="7328" priority="10928" operator="equal">
      <formula>"ITAÚ MATRIZ"</formula>
    </cfRule>
    <cfRule type="cellIs" dxfId="7327" priority="10927" operator="equal">
      <formula>"ITAÚ"</formula>
    </cfRule>
    <cfRule type="cellIs" dxfId="7326" priority="10926" operator="between">
      <formula>"ITAÚ FILIAL"</formula>
      <formula>"ITAÚ FILIAL"</formula>
    </cfRule>
    <cfRule type="cellIs" dxfId="7325" priority="10925" operator="between">
      <formula>"ITAÚ FILIAL"</formula>
      <formula>"ITAÚ FILIAL"</formula>
    </cfRule>
    <cfRule type="cellIs" dxfId="7324" priority="10924" operator="between">
      <formula>"DAYCOVAL"</formula>
      <formula>"DAYCOVAL"</formula>
    </cfRule>
    <cfRule type="cellIs" dxfId="7323" priority="10923" operator="between">
      <formula>"SAFRA"</formula>
      <formula>"SAFRA"</formula>
    </cfRule>
    <cfRule type="cellIs" dxfId="7322" priority="10922" operator="between">
      <formula>"SAFRA"</formula>
      <formula>"SAFRA"</formula>
    </cfRule>
    <cfRule type="cellIs" dxfId="7321" priority="10921" operator="equal">
      <formula>"ITAÚ"</formula>
    </cfRule>
    <cfRule type="cellIs" dxfId="7320" priority="10920" operator="equal">
      <formula>"ITAÚ"</formula>
    </cfRule>
    <cfRule type="cellIs" dxfId="7319" priority="10919" operator="between">
      <formula>"ITAÚ MATRIZ"</formula>
      <formula>"ITAÚ MATRIZ"</formula>
    </cfRule>
    <cfRule type="cellIs" dxfId="7318" priority="10918" operator="between">
      <formula>"ITAÚ FILIAL"</formula>
      <formula>"ITAÚ FILIAL"</formula>
    </cfRule>
    <cfRule type="cellIs" dxfId="7317" priority="10917" operator="between">
      <formula>"ITAÚ FILIAL"</formula>
      <formula>"ITAÚ FILIAL"</formula>
    </cfRule>
    <cfRule type="cellIs" dxfId="7316" priority="10916" operator="between">
      <formula>"DAYCOVAL"</formula>
      <formula>"DAYCOVAL"</formula>
    </cfRule>
    <cfRule type="cellIs" dxfId="7315" priority="10915" operator="between">
      <formula>"SAFRA"</formula>
      <formula>"SAFRA"</formula>
    </cfRule>
    <cfRule type="cellIs" dxfId="7314" priority="10914" operator="between">
      <formula>"SAFRA"</formula>
      <formula>"SAFRA"</formula>
    </cfRule>
    <cfRule type="cellIs" dxfId="7313" priority="10913" operator="equal">
      <formula>"ITAÚ MATRIZ"</formula>
    </cfRule>
    <cfRule type="cellIs" dxfId="7312" priority="10912" operator="equal">
      <formula>"ITAÚ"</formula>
    </cfRule>
    <cfRule type="cellIs" dxfId="7311" priority="10911" operator="between">
      <formula>"ITAÚ MATRIZ"</formula>
      <formula>"ITAÚ MATRIZ"</formula>
    </cfRule>
    <cfRule type="cellIs" dxfId="7310" priority="10910" operator="equal">
      <formula>"ITAÚ MATRIZ"</formula>
    </cfRule>
    <cfRule type="cellIs" dxfId="7309" priority="10909" operator="equal">
      <formula>"ITAÚ"</formula>
    </cfRule>
    <cfRule type="cellIs" dxfId="7308" priority="10908" operator="between">
      <formula>"ITAÚ FILIAL"</formula>
      <formula>"ITAÚ FILIAL"</formula>
    </cfRule>
    <cfRule type="cellIs" dxfId="7307" priority="10907" operator="between">
      <formula>"ITAÚ FILIAL"</formula>
      <formula>"ITAÚ FILIAL"</formula>
    </cfRule>
    <cfRule type="cellIs" dxfId="7306" priority="10906" operator="between">
      <formula>"DAYCOVAL"</formula>
      <formula>"DAYCOVAL"</formula>
    </cfRule>
    <cfRule type="cellIs" dxfId="7305" priority="10905" operator="between">
      <formula>"SAFRA"</formula>
      <formula>"SAFRA"</formula>
    </cfRule>
    <cfRule type="cellIs" dxfId="7304" priority="10904" operator="between">
      <formula>"SAFRA"</formula>
      <formula>"SAFRA"</formula>
    </cfRule>
    <cfRule type="cellIs" dxfId="7303" priority="10903" operator="equal">
      <formula>"ITAÚ"</formula>
    </cfRule>
    <cfRule type="cellIs" dxfId="7302" priority="10902" operator="equal">
      <formula>"ITAÚ"</formula>
    </cfRule>
    <cfRule type="cellIs" dxfId="7301" priority="10901" operator="between">
      <formula>"ITAÚ MATRIZ"</formula>
      <formula>"ITAÚ MATRIZ"</formula>
    </cfRule>
    <cfRule type="cellIs" dxfId="7300" priority="10900" operator="between">
      <formula>"ITAÚ FILIAL"</formula>
      <formula>"ITAÚ FILIAL"</formula>
    </cfRule>
    <cfRule type="cellIs" dxfId="7299" priority="10899" operator="between">
      <formula>"ITAÚ FILIAL"</formula>
      <formula>"ITAÚ FILIAL"</formula>
    </cfRule>
    <cfRule type="cellIs" dxfId="7298" priority="10898" operator="between">
      <formula>"DAYCOVAL"</formula>
      <formula>"DAYCOVAL"</formula>
    </cfRule>
    <cfRule type="cellIs" dxfId="7297" priority="10897" operator="between">
      <formula>"SAFRA"</formula>
      <formula>"SAFRA"</formula>
    </cfRule>
    <cfRule type="cellIs" dxfId="7296" priority="10896" operator="between">
      <formula>"SAFRA"</formula>
      <formula>"SAFRA"</formula>
    </cfRule>
    <cfRule type="cellIs" dxfId="7295" priority="10895" operator="equal">
      <formula>"ITAÚ MATRIZ"</formula>
    </cfRule>
    <cfRule type="cellIs" dxfId="7294" priority="10894" operator="equal">
      <formula>"ITAÚ"</formula>
    </cfRule>
    <cfRule type="cellIs" dxfId="7293" priority="10893" operator="between">
      <formula>"ITAÚ MATRIZ"</formula>
      <formula>"ITAÚ MATRIZ"</formula>
    </cfRule>
    <cfRule type="cellIs" dxfId="7292" priority="10892" operator="equal">
      <formula>"ITAÚ MATRIZ"</formula>
    </cfRule>
    <cfRule type="cellIs" dxfId="7291" priority="10891" operator="equal">
      <formula>"ITAÚ"</formula>
    </cfRule>
    <cfRule type="cellIs" dxfId="7290" priority="10890" operator="between">
      <formula>"ITAÚ FILIAL"</formula>
      <formula>"ITAÚ FILIAL"</formula>
    </cfRule>
    <cfRule type="cellIs" dxfId="7289" priority="10889" operator="between">
      <formula>"ITAÚ FILIAL"</formula>
      <formula>"ITAÚ FILIAL"</formula>
    </cfRule>
    <cfRule type="cellIs" dxfId="7288" priority="10888" operator="between">
      <formula>"DAYCOVAL"</formula>
      <formula>"DAYCOVAL"</formula>
    </cfRule>
    <cfRule type="cellIs" dxfId="7287" priority="10887" operator="between">
      <formula>"SAFRA"</formula>
      <formula>"SAFRA"</formula>
    </cfRule>
    <cfRule type="cellIs" dxfId="7286" priority="10886" operator="between">
      <formula>"SAFRA"</formula>
      <formula>"SAFRA"</formula>
    </cfRule>
    <cfRule type="cellIs" dxfId="7285" priority="10885" operator="equal">
      <formula>"ITAÚ"</formula>
    </cfRule>
    <cfRule type="cellIs" dxfId="7284" priority="10884" operator="equal">
      <formula>"ITAÚ"</formula>
    </cfRule>
    <cfRule type="cellIs" dxfId="7283" priority="10883" operator="between">
      <formula>"ITAÚ MATRIZ"</formula>
      <formula>"ITAÚ MATRIZ"</formula>
    </cfRule>
    <cfRule type="cellIs" dxfId="7282" priority="10882" operator="between">
      <formula>"ITAÚ FILIAL"</formula>
      <formula>"ITAÚ FILIAL"</formula>
    </cfRule>
    <cfRule type="cellIs" dxfId="7281" priority="10881" operator="between">
      <formula>"ITAÚ FILIAL"</formula>
      <formula>"ITAÚ FILIAL"</formula>
    </cfRule>
    <cfRule type="cellIs" dxfId="7280" priority="10880" operator="between">
      <formula>"DAYCOVAL"</formula>
      <formula>"DAYCOVAL"</formula>
    </cfRule>
    <cfRule type="cellIs" dxfId="7279" priority="10879" operator="between">
      <formula>"SAFRA"</formula>
      <formula>"SAFRA"</formula>
    </cfRule>
    <cfRule type="cellIs" dxfId="7278" priority="10878" operator="between">
      <formula>"SAFRA"</formula>
      <formula>"SAFRA"</formula>
    </cfRule>
    <cfRule type="cellIs" dxfId="7277" priority="10877" operator="equal">
      <formula>"ITAÚ MATRIZ"</formula>
    </cfRule>
    <cfRule type="cellIs" dxfId="7276" priority="10876" operator="equal">
      <formula>"ITAÚ"</formula>
    </cfRule>
    <cfRule type="cellIs" dxfId="7275" priority="10875" operator="equal">
      <formula>"ITAÚ"</formula>
    </cfRule>
    <cfRule type="cellIs" dxfId="7274" priority="10874" operator="between">
      <formula>"ITAÚ MATRIZ"</formula>
      <formula>"ITAÚ MATRIZ"</formula>
    </cfRule>
    <cfRule type="cellIs" dxfId="7273" priority="10873" operator="between">
      <formula>"ITAÚ FILIAL"</formula>
      <formula>"ITAÚ FILIAL"</formula>
    </cfRule>
    <cfRule type="cellIs" dxfId="7272" priority="10872" operator="between">
      <formula>"ITAÚ FILIAL"</formula>
      <formula>"ITAÚ FILIAL"</formula>
    </cfRule>
    <cfRule type="cellIs" dxfId="7271" priority="10871" operator="between">
      <formula>"DAYCOVAL"</formula>
      <formula>"DAYCOVAL"</formula>
    </cfRule>
    <cfRule type="cellIs" dxfId="7270" priority="10870" operator="between">
      <formula>"SAFRA"</formula>
      <formula>"SAFRA"</formula>
    </cfRule>
    <cfRule type="cellIs" dxfId="7269" priority="10869" operator="between">
      <formula>"SAFRA"</formula>
      <formula>"SAFRA"</formula>
    </cfRule>
    <cfRule type="cellIs" dxfId="7268" priority="10868" operator="equal">
      <formula>"ITAÚ MATRIZ"</formula>
    </cfRule>
    <cfRule type="cellIs" dxfId="7267" priority="10867" operator="equal">
      <formula>"ITAÚ"</formula>
    </cfRule>
    <cfRule type="cellIs" dxfId="7266" priority="10866" operator="equal">
      <formula>"ITAÚ"</formula>
    </cfRule>
    <cfRule type="cellIs" dxfId="7265" priority="10865" operator="between">
      <formula>"ITAÚ MATRIZ"</formula>
      <formula>"ITAÚ MATRIZ"</formula>
    </cfRule>
    <cfRule type="cellIs" dxfId="7264" priority="10864" operator="between">
      <formula>"ITAÚ FILIAL"</formula>
      <formula>"ITAÚ FILIAL"</formula>
    </cfRule>
    <cfRule type="cellIs" dxfId="7263" priority="10863" operator="between">
      <formula>"ITAÚ FILIAL"</formula>
      <formula>"ITAÚ FILIAL"</formula>
    </cfRule>
    <cfRule type="cellIs" dxfId="7262" priority="10862" operator="between">
      <formula>"DAYCOVAL"</formula>
      <formula>"DAYCOVAL"</formula>
    </cfRule>
    <cfRule type="cellIs" dxfId="7261" priority="10861" operator="between">
      <formula>"SAFRA"</formula>
      <formula>"SAFRA"</formula>
    </cfRule>
    <cfRule type="cellIs" dxfId="7260" priority="10860" operator="between">
      <formula>"SAFRA"</formula>
      <formula>"SAFRA"</formula>
    </cfRule>
    <cfRule type="cellIs" dxfId="7259" priority="10859" operator="equal">
      <formula>"ITAÚ MATRIZ"</formula>
    </cfRule>
    <cfRule type="cellIs" dxfId="7258" priority="10858" operator="equal">
      <formula>"ITAÚ"</formula>
    </cfRule>
    <cfRule type="cellIs" dxfId="7257" priority="10857" operator="equal">
      <formula>"ITAÚ"</formula>
    </cfRule>
    <cfRule type="cellIs" dxfId="7256" priority="10856" operator="between">
      <formula>"ITAÚ MATRIZ"</formula>
      <formula>"ITAÚ MATRIZ"</formula>
    </cfRule>
    <cfRule type="cellIs" dxfId="7255" priority="10855" operator="between">
      <formula>"ITAÚ FILIAL"</formula>
      <formula>"ITAÚ FILIAL"</formula>
    </cfRule>
    <cfRule type="cellIs" dxfId="7254" priority="10854" operator="between">
      <formula>"ITAÚ FILIAL"</formula>
      <formula>"ITAÚ FILIAL"</formula>
    </cfRule>
    <cfRule type="cellIs" dxfId="7253" priority="10853" operator="between">
      <formula>"DAYCOVAL"</formula>
      <formula>"DAYCOVAL"</formula>
    </cfRule>
    <cfRule type="cellIs" dxfId="7252" priority="10852" operator="between">
      <formula>"SAFRA"</formula>
      <formula>"SAFRA"</formula>
    </cfRule>
    <cfRule type="cellIs" dxfId="7251" priority="10851" operator="between">
      <formula>"SAFRA"</formula>
      <formula>"SAFRA"</formula>
    </cfRule>
    <cfRule type="cellIs" dxfId="7250" priority="10850" operator="equal">
      <formula>"ITAÚ MATRIZ"</formula>
    </cfRule>
    <cfRule type="cellIs" dxfId="7249" priority="10849" operator="equal">
      <formula>"ITAÚ"</formula>
    </cfRule>
    <cfRule type="cellIs" dxfId="7248" priority="10848" operator="equal">
      <formula>"ITAÚ"</formula>
    </cfRule>
    <cfRule type="cellIs" dxfId="7247" priority="10847" operator="between">
      <formula>"ITAÚ MATRIZ"</formula>
      <formula>"ITAÚ MATRIZ"</formula>
    </cfRule>
    <cfRule type="cellIs" dxfId="7246" priority="10846" operator="between">
      <formula>"ITAÚ FILIAL"</formula>
      <formula>"ITAÚ FILIAL"</formula>
    </cfRule>
    <cfRule type="cellIs" dxfId="7245" priority="10845" operator="between">
      <formula>"ITAÚ FILIAL"</formula>
      <formula>"ITAÚ FILIAL"</formula>
    </cfRule>
    <cfRule type="cellIs" dxfId="7244" priority="10844" operator="between">
      <formula>"DAYCOVAL"</formula>
      <formula>"DAYCOVAL"</formula>
    </cfRule>
    <cfRule type="cellIs" dxfId="7243" priority="10843" operator="between">
      <formula>"SAFRA"</formula>
      <formula>"SAFRA"</formula>
    </cfRule>
    <cfRule type="cellIs" dxfId="7242" priority="10842" operator="between">
      <formula>"SAFRA"</formula>
      <formula>"SAFRA"</formula>
    </cfRule>
    <cfRule type="cellIs" dxfId="7241" priority="10935" operator="between">
      <formula>"ITAÚ FILIAL"</formula>
      <formula>"ITAÚ FILIAL"</formula>
    </cfRule>
    <cfRule type="cellIs" dxfId="7240" priority="10936" operator="equal">
      <formula>"ITAÚ"</formula>
    </cfRule>
    <cfRule type="cellIs" dxfId="7239" priority="10937" operator="equal">
      <formula>"ITAÚ MATRIZ"</formula>
    </cfRule>
    <cfRule type="cellIs" dxfId="7238" priority="10838" operator="equal">
      <formula>"ITAÚ MATRIZ"</formula>
    </cfRule>
    <cfRule type="cellIs" dxfId="7237" priority="10837" operator="equal">
      <formula>"ITAÚ"</formula>
    </cfRule>
    <cfRule type="cellIs" dxfId="7236" priority="10938" operator="between">
      <formula>"ITAÚ MATRIZ"</formula>
      <formula>"ITAÚ MATRIZ"</formula>
    </cfRule>
    <cfRule type="cellIs" dxfId="7235" priority="10835" operator="between">
      <formula>"ITAÚ FILIAL"</formula>
      <formula>"ITAÚ FILIAL"</formula>
    </cfRule>
    <cfRule type="cellIs" dxfId="7234" priority="10834" operator="between">
      <formula>"DAYCOVAL"</formula>
      <formula>"DAYCOVAL"</formula>
    </cfRule>
    <cfRule type="cellIs" dxfId="7233" priority="10833" operator="between">
      <formula>"SAFRA"</formula>
      <formula>"SAFRA"</formula>
    </cfRule>
    <cfRule type="cellIs" dxfId="7232" priority="10832" operator="between">
      <formula>"SAFRA"</formula>
      <formula>"SAFRA"</formula>
    </cfRule>
    <cfRule type="cellIs" dxfId="7231" priority="10831" operator="equal">
      <formula>"ITAÚ"</formula>
    </cfRule>
    <cfRule type="cellIs" dxfId="7230" priority="10830" operator="equal">
      <formula>"ITAÚ"</formula>
    </cfRule>
    <cfRule type="cellIs" dxfId="7229" priority="10829" operator="between">
      <formula>"ITAÚ MATRIZ"</formula>
      <formula>"ITAÚ MATRIZ"</formula>
    </cfRule>
    <cfRule type="cellIs" dxfId="7228" priority="10828" operator="between">
      <formula>"ITAÚ FILIAL"</formula>
      <formula>"ITAÚ FILIAL"</formula>
    </cfRule>
    <cfRule type="cellIs" dxfId="7227" priority="10827" operator="between">
      <formula>"ITAÚ FILIAL"</formula>
      <formula>"ITAÚ FILIAL"</formula>
    </cfRule>
    <cfRule type="cellIs" dxfId="7226" priority="10826" operator="between">
      <formula>"DAYCOVAL"</formula>
      <formula>"DAYCOVAL"</formula>
    </cfRule>
    <cfRule type="cellIs" dxfId="7225" priority="10825" operator="between">
      <formula>"SAFRA"</formula>
      <formula>"SAFRA"</formula>
    </cfRule>
    <cfRule type="cellIs" dxfId="7224" priority="10824" operator="between">
      <formula>"SAFRA"</formula>
      <formula>"SAFRA"</formula>
    </cfRule>
    <cfRule type="cellIs" dxfId="7223" priority="10823" operator="equal">
      <formula>"ITAÚ MATRIZ"</formula>
    </cfRule>
    <cfRule type="cellIs" dxfId="7222" priority="10822" operator="equal">
      <formula>"ITAÚ"</formula>
    </cfRule>
    <cfRule type="cellIs" dxfId="7221" priority="10821" operator="between">
      <formula>"ITAÚ MATRIZ"</formula>
      <formula>"ITAÚ MATRIZ"</formula>
    </cfRule>
    <cfRule type="cellIs" dxfId="7220" priority="10820" operator="equal">
      <formula>"ITAÚ MATRIZ"</formula>
    </cfRule>
    <cfRule type="cellIs" dxfId="7219" priority="10819" operator="equal">
      <formula>"ITAÚ"</formula>
    </cfRule>
    <cfRule type="cellIs" dxfId="7218" priority="10818" operator="between">
      <formula>"ITAÚ FILIAL"</formula>
      <formula>"ITAÚ FILIAL"</formula>
    </cfRule>
    <cfRule type="cellIs" dxfId="7217" priority="10817" operator="between">
      <formula>"ITAÚ FILIAL"</formula>
      <formula>"ITAÚ FILIAL"</formula>
    </cfRule>
    <cfRule type="cellIs" dxfId="7216" priority="10816" operator="between">
      <formula>"DAYCOVAL"</formula>
      <formula>"DAYCOVAL"</formula>
    </cfRule>
    <cfRule type="cellIs" dxfId="7215" priority="10815" operator="between">
      <formula>"SAFRA"</formula>
      <formula>"SAFRA"</formula>
    </cfRule>
    <cfRule type="cellIs" dxfId="7214" priority="10814" operator="between">
      <formula>"SAFRA"</formula>
      <formula>"SAFRA"</formula>
    </cfRule>
    <cfRule type="cellIs" dxfId="7213" priority="10813" operator="equal">
      <formula>"ITAÚ"</formula>
    </cfRule>
    <cfRule type="cellIs" dxfId="7212" priority="10812" operator="equal">
      <formula>"ITAÚ"</formula>
    </cfRule>
    <cfRule type="cellIs" dxfId="7211" priority="10811" operator="between">
      <formula>"ITAÚ MATRIZ"</formula>
      <formula>"ITAÚ MATRIZ"</formula>
    </cfRule>
    <cfRule type="cellIs" dxfId="7210" priority="10810" operator="between">
      <formula>"ITAÚ FILIAL"</formula>
      <formula>"ITAÚ FILIAL"</formula>
    </cfRule>
    <cfRule type="cellIs" dxfId="7209" priority="10809" operator="between">
      <formula>"ITAÚ FILIAL"</formula>
      <formula>"ITAÚ FILIAL"</formula>
    </cfRule>
    <cfRule type="cellIs" dxfId="7208" priority="10808" operator="between">
      <formula>"DAYCOVAL"</formula>
      <formula>"DAYCOVAL"</formula>
    </cfRule>
    <cfRule type="cellIs" dxfId="7207" priority="10807" operator="between">
      <formula>"SAFRA"</formula>
      <formula>"SAFRA"</formula>
    </cfRule>
    <cfRule type="cellIs" dxfId="7206" priority="10806" operator="between">
      <formula>"SAFRA"</formula>
      <formula>"SAFRA"</formula>
    </cfRule>
    <cfRule type="cellIs" dxfId="7205" priority="10805" operator="equal">
      <formula>"ITAÚ MATRIZ"</formula>
    </cfRule>
    <cfRule type="cellIs" dxfId="7204" priority="10804" operator="equal">
      <formula>"ITAÚ"</formula>
    </cfRule>
    <cfRule type="cellIs" dxfId="7203" priority="10803" operator="equal">
      <formula>"ITAÚ"</formula>
    </cfRule>
    <cfRule type="cellIs" dxfId="7202" priority="10802" operator="between">
      <formula>"ITAÚ MATRIZ"</formula>
      <formula>"ITAÚ MATRIZ"</formula>
    </cfRule>
    <cfRule type="cellIs" dxfId="7201" priority="10801" operator="between">
      <formula>"ITAÚ FILIAL"</formula>
      <formula>"ITAÚ FILIAL"</formula>
    </cfRule>
    <cfRule type="cellIs" dxfId="7200" priority="10800" operator="between">
      <formula>"ITAÚ FILIAL"</formula>
      <formula>"ITAÚ FILIAL"</formula>
    </cfRule>
    <cfRule type="cellIs" dxfId="7199" priority="10799" operator="between">
      <formula>"DAYCOVAL"</formula>
      <formula>"DAYCOVAL"</formula>
    </cfRule>
    <cfRule type="cellIs" dxfId="7198" priority="10798" operator="between">
      <formula>"SAFRA"</formula>
      <formula>"SAFRA"</formula>
    </cfRule>
    <cfRule type="cellIs" dxfId="7197" priority="10797" operator="between">
      <formula>"SAFRA"</formula>
      <formula>"SAFRA"</formula>
    </cfRule>
    <cfRule type="cellIs" dxfId="7196" priority="10796" operator="equal">
      <formula>"ITAÚ MATRIZ"</formula>
    </cfRule>
    <cfRule type="cellIs" dxfId="7195" priority="10795" operator="equal">
      <formula>"ITAÚ"</formula>
    </cfRule>
    <cfRule type="cellIs" dxfId="7194" priority="10794" operator="equal">
      <formula>"ITAÚ"</formula>
    </cfRule>
    <cfRule type="cellIs" dxfId="7193" priority="10793" operator="between">
      <formula>"ITAÚ MATRIZ"</formula>
      <formula>"ITAÚ MATRIZ"</formula>
    </cfRule>
    <cfRule type="cellIs" dxfId="7192" priority="10792" operator="between">
      <formula>"ITAÚ FILIAL"</formula>
      <formula>"ITAÚ FILIAL"</formula>
    </cfRule>
    <cfRule type="cellIs" dxfId="7191" priority="10791" operator="between">
      <formula>"ITAÚ FILIAL"</formula>
      <formula>"ITAÚ FILIAL"</formula>
    </cfRule>
    <cfRule type="cellIs" dxfId="7190" priority="10790" operator="between">
      <formula>"DAYCOVAL"</formula>
      <formula>"DAYCOVAL"</formula>
    </cfRule>
    <cfRule type="cellIs" dxfId="7189" priority="10789" operator="between">
      <formula>"SAFRA"</formula>
      <formula>"SAFRA"</formula>
    </cfRule>
    <cfRule type="cellIs" dxfId="7188" priority="10788" operator="between">
      <formula>"SAFRA"</formula>
      <formula>"SAFRA"</formula>
    </cfRule>
    <cfRule type="cellIs" dxfId="7187" priority="10787" operator="equal">
      <formula>"ITAÚ MATRIZ"</formula>
    </cfRule>
    <cfRule type="cellIs" dxfId="7186" priority="10786" operator="equal">
      <formula>"ITAÚ"</formula>
    </cfRule>
    <cfRule type="cellIs" dxfId="7185" priority="10785" operator="equal">
      <formula>"ITAÚ"</formula>
    </cfRule>
    <cfRule type="cellIs" dxfId="7184" priority="10784" operator="between">
      <formula>"ITAÚ MATRIZ"</formula>
      <formula>"ITAÚ MATRIZ"</formula>
    </cfRule>
    <cfRule type="cellIs" dxfId="7183" priority="10783" operator="between">
      <formula>"ITAÚ FILIAL"</formula>
      <formula>"ITAÚ FILIAL"</formula>
    </cfRule>
    <cfRule type="cellIs" dxfId="7182" priority="10782" operator="between">
      <formula>"ITAÚ FILIAL"</formula>
      <formula>"ITAÚ FILIAL"</formula>
    </cfRule>
    <cfRule type="cellIs" dxfId="7181" priority="10781" operator="between">
      <formula>"DAYCOVAL"</formula>
      <formula>"DAYCOVAL"</formula>
    </cfRule>
    <cfRule type="cellIs" dxfId="7180" priority="10780" operator="between">
      <formula>"SAFRA"</formula>
      <formula>"SAFRA"</formula>
    </cfRule>
    <cfRule type="cellIs" dxfId="7179" priority="10779" operator="between">
      <formula>"SAFRA"</formula>
      <formula>"SAFRA"</formula>
    </cfRule>
    <cfRule type="cellIs" dxfId="7178" priority="10778" operator="equal">
      <formula>"ITAÚ MATRIZ"</formula>
    </cfRule>
    <cfRule type="cellIs" dxfId="7177" priority="10777" operator="equal">
      <formula>"ITAÚ"</formula>
    </cfRule>
    <cfRule type="cellIs" dxfId="7176" priority="10776" operator="equal">
      <formula>"ITAÚ"</formula>
    </cfRule>
    <cfRule type="cellIs" dxfId="7175" priority="10775" operator="between">
      <formula>"ITAÚ MATRIZ"</formula>
      <formula>"ITAÚ MATRIZ"</formula>
    </cfRule>
    <cfRule type="cellIs" dxfId="7174" priority="10774" operator="between">
      <formula>"ITAÚ FILIAL"</formula>
      <formula>"ITAÚ FILIAL"</formula>
    </cfRule>
    <cfRule type="cellIs" dxfId="7173" priority="10773" operator="between">
      <formula>"ITAÚ FILIAL"</formula>
      <formula>"ITAÚ FILIAL"</formula>
    </cfRule>
    <cfRule type="cellIs" dxfId="7172" priority="10772" operator="between">
      <formula>"DAYCOVAL"</formula>
      <formula>"DAYCOVAL"</formula>
    </cfRule>
    <cfRule type="cellIs" dxfId="7171" priority="10771" operator="between">
      <formula>"SAFRA"</formula>
      <formula>"SAFRA"</formula>
    </cfRule>
    <cfRule type="cellIs" dxfId="7170" priority="10770" operator="between">
      <formula>"SAFRA"</formula>
      <formula>"SAFRA"</formula>
    </cfRule>
    <cfRule type="cellIs" dxfId="7169" priority="10769" operator="equal">
      <formula>"ITAÚ MATRIZ"</formula>
    </cfRule>
    <cfRule type="cellIs" dxfId="7168" priority="10768" operator="equal">
      <formula>"ITAÚ"</formula>
    </cfRule>
    <cfRule type="cellIs" dxfId="7167" priority="10767" operator="between">
      <formula>"ITAÚ MATRIZ"</formula>
      <formula>"ITAÚ MATRIZ"</formula>
    </cfRule>
    <cfRule type="cellIs" dxfId="7166" priority="10766" operator="equal">
      <formula>"ITAÚ MATRIZ"</formula>
    </cfRule>
    <cfRule type="cellIs" dxfId="7165" priority="10765" operator="equal">
      <formula>"ITAÚ"</formula>
    </cfRule>
    <cfRule type="cellIs" dxfId="7164" priority="10764" operator="between">
      <formula>"ITAÚ FILIAL"</formula>
      <formula>"ITAÚ FILIAL"</formula>
    </cfRule>
    <cfRule type="cellIs" dxfId="7163" priority="10763" operator="between">
      <formula>"ITAÚ FILIAL"</formula>
      <formula>"ITAÚ FILIAL"</formula>
    </cfRule>
    <cfRule type="cellIs" dxfId="7162" priority="10762" operator="between">
      <formula>"DAYCOVAL"</formula>
      <formula>"DAYCOVAL"</formula>
    </cfRule>
    <cfRule type="cellIs" dxfId="7161" priority="10761" operator="between">
      <formula>"SAFRA"</formula>
      <formula>"SAFRA"</formula>
    </cfRule>
    <cfRule type="cellIs" dxfId="7160" priority="10760" operator="between">
      <formula>"SAFRA"</formula>
      <formula>"SAFRA"</formula>
    </cfRule>
    <cfRule type="cellIs" dxfId="7159" priority="10759" operator="equal">
      <formula>"ITAÚ"</formula>
    </cfRule>
    <cfRule type="cellIs" dxfId="7158" priority="10758" operator="equal">
      <formula>"ITAÚ"</formula>
    </cfRule>
    <cfRule type="cellIs" dxfId="7157" priority="10757" operator="between">
      <formula>"ITAÚ MATRIZ"</formula>
      <formula>"ITAÚ MATRIZ"</formula>
    </cfRule>
    <cfRule type="cellIs" dxfId="7156" priority="10756" operator="between">
      <formula>"ITAÚ FILIAL"</formula>
      <formula>"ITAÚ FILIAL"</formula>
    </cfRule>
    <cfRule type="cellIs" dxfId="7155" priority="10755" operator="between">
      <formula>"ITAÚ FILIAL"</formula>
      <formula>"ITAÚ FILIAL"</formula>
    </cfRule>
    <cfRule type="cellIs" dxfId="7154" priority="10754" operator="between">
      <formula>"DAYCOVAL"</formula>
      <formula>"DAYCOVAL"</formula>
    </cfRule>
    <cfRule type="cellIs" dxfId="7153" priority="10753" operator="between">
      <formula>"SAFRA"</formula>
      <formula>"SAFRA"</formula>
    </cfRule>
    <cfRule type="cellIs" dxfId="7152" priority="10752" operator="between">
      <formula>"SAFRA"</formula>
      <formula>"SAFRA"</formula>
    </cfRule>
    <cfRule type="cellIs" dxfId="7151" priority="10751" operator="equal">
      <formula>"ITAÚ MATRIZ"</formula>
    </cfRule>
    <cfRule type="cellIs" dxfId="7150" priority="10750" operator="equal">
      <formula>"ITAÚ"</formula>
    </cfRule>
    <cfRule type="cellIs" dxfId="7149" priority="10749" operator="equal">
      <formula>"ITAÚ"</formula>
    </cfRule>
    <cfRule type="cellIs" dxfId="7148" priority="10748" operator="between">
      <formula>"ITAÚ MATRIZ"</formula>
      <formula>"ITAÚ MATRIZ"</formula>
    </cfRule>
    <cfRule type="cellIs" dxfId="7147" priority="10747" operator="between">
      <formula>"ITAÚ FILIAL"</formula>
      <formula>"ITAÚ FILIAL"</formula>
    </cfRule>
    <cfRule type="cellIs" dxfId="7146" priority="10746" operator="between">
      <formula>"ITAÚ FILIAL"</formula>
      <formula>"ITAÚ FILIAL"</formula>
    </cfRule>
    <cfRule type="cellIs" dxfId="7145" priority="10745" operator="between">
      <formula>"DAYCOVAL"</formula>
      <formula>"DAYCOVAL"</formula>
    </cfRule>
    <cfRule type="cellIs" dxfId="7144" priority="10744" operator="between">
      <formula>"SAFRA"</formula>
      <formula>"SAFRA"</formula>
    </cfRule>
    <cfRule type="cellIs" dxfId="7143" priority="10743" operator="between">
      <formula>"SAFRA"</formula>
      <formula>"SAFRA"</formula>
    </cfRule>
    <cfRule type="cellIs" dxfId="7142" priority="10742" operator="equal">
      <formula>"ITAÚ MATRIZ"</formula>
    </cfRule>
    <cfRule type="cellIs" dxfId="7141" priority="10934" operator="between">
      <formula>"ITAÚ FILIAL"</formula>
      <formula>"ITAÚ FILIAL"</formula>
    </cfRule>
    <cfRule type="cellIs" dxfId="7140" priority="10719" operator="between">
      <formula>"ITAÚ MATRIZ"</formula>
      <formula>"ITAÚ MATRIZ"</formula>
    </cfRule>
    <cfRule type="cellIs" dxfId="7139" priority="10718" operator="equal">
      <formula>"ITAÚ MATRIZ"</formula>
    </cfRule>
    <cfRule type="cellIs" dxfId="7138" priority="10717" operator="equal">
      <formula>"ITAÚ"</formula>
    </cfRule>
    <cfRule type="cellIs" dxfId="7137" priority="10716" operator="between">
      <formula>"ITAÚ FILIAL"</formula>
      <formula>"ITAÚ FILIAL"</formula>
    </cfRule>
    <cfRule type="cellIs" dxfId="7136" priority="10715" operator="between">
      <formula>"ITAÚ FILIAL"</formula>
      <formula>"ITAÚ FILIAL"</formula>
    </cfRule>
    <cfRule type="cellIs" dxfId="7135" priority="10714" operator="between">
      <formula>"DAYCOVAL"</formula>
      <formula>"DAYCOVAL"</formula>
    </cfRule>
    <cfRule type="cellIs" dxfId="7134" priority="10713" operator="between">
      <formula>"SAFRA"</formula>
      <formula>"SAFRA"</formula>
    </cfRule>
    <cfRule type="cellIs" dxfId="7133" priority="10712" operator="between">
      <formula>"SAFRA"</formula>
      <formula>"SAFRA"</formula>
    </cfRule>
    <cfRule type="cellIs" dxfId="7132" priority="10711" operator="equal">
      <formula>"ITAÚ"</formula>
    </cfRule>
    <cfRule type="cellIs" dxfId="7131" priority="10710" operator="between">
      <formula>"ITAÚ MATRIZ"</formula>
      <formula>"ITAÚ MATRIZ"</formula>
    </cfRule>
    <cfRule type="cellIs" dxfId="7130" priority="10709" operator="equal">
      <formula>"ITAÚ MATRIZ"</formula>
    </cfRule>
    <cfRule type="cellIs" dxfId="7129" priority="10708" operator="equal">
      <formula>"ITAÚ"</formula>
    </cfRule>
    <cfRule type="cellIs" dxfId="7128" priority="10707" operator="between">
      <formula>"ITAÚ FILIAL"</formula>
      <formula>"ITAÚ FILIAL"</formula>
    </cfRule>
    <cfRule type="cellIs" dxfId="7127" priority="10706" operator="between">
      <formula>"ITAÚ FILIAL"</formula>
      <formula>"ITAÚ FILIAL"</formula>
    </cfRule>
    <cfRule type="cellIs" dxfId="7126" priority="10705" operator="between">
      <formula>"DAYCOVAL"</formula>
      <formula>"DAYCOVAL"</formula>
    </cfRule>
    <cfRule type="cellIs" dxfId="7125" priority="10704" operator="between">
      <formula>"SAFRA"</formula>
      <formula>"SAFRA"</formula>
    </cfRule>
    <cfRule type="cellIs" dxfId="7124" priority="10703" operator="between">
      <formula>"SAFRA"</formula>
      <formula>"SAFRA"</formula>
    </cfRule>
    <cfRule type="cellIs" dxfId="7123" priority="10702" operator="equal">
      <formula>"ITAÚ"</formula>
    </cfRule>
    <cfRule type="cellIs" dxfId="7122" priority="10701" operator="equal">
      <formula>"ITAÚ"</formula>
    </cfRule>
    <cfRule type="cellIs" dxfId="7121" priority="10700" operator="between">
      <formula>"ITAÚ MATRIZ"</formula>
      <formula>"ITAÚ MATRIZ"</formula>
    </cfRule>
    <cfRule type="cellIs" dxfId="7120" priority="10699" operator="between">
      <formula>"ITAÚ FILIAL"</formula>
      <formula>"ITAÚ FILIAL"</formula>
    </cfRule>
    <cfRule type="cellIs" dxfId="7119" priority="10698" operator="between">
      <formula>"ITAÚ FILIAL"</formula>
      <formula>"ITAÚ FILIAL"</formula>
    </cfRule>
    <cfRule type="cellIs" dxfId="7118" priority="10697" operator="between">
      <formula>"DAYCOVAL"</formula>
      <formula>"DAYCOVAL"</formula>
    </cfRule>
    <cfRule type="cellIs" dxfId="7117" priority="10696" operator="between">
      <formula>"SAFRA"</formula>
      <formula>"SAFRA"</formula>
    </cfRule>
    <cfRule type="cellIs" dxfId="7116" priority="10695" operator="between">
      <formula>"SAFRA"</formula>
      <formula>"SAFRA"</formula>
    </cfRule>
    <cfRule type="cellIs" dxfId="7115" priority="10694" operator="equal">
      <formula>"ITAÚ MATRIZ"</formula>
    </cfRule>
    <cfRule type="cellIs" dxfId="7114" priority="10693" operator="equal">
      <formula>"ITAÚ"</formula>
    </cfRule>
    <cfRule type="cellIs" dxfId="7113" priority="10692" operator="between">
      <formula>"ITAÚ MATRIZ"</formula>
      <formula>"ITAÚ MATRIZ"</formula>
    </cfRule>
    <cfRule type="cellIs" dxfId="7112" priority="10691" operator="equal">
      <formula>"ITAÚ MATRIZ"</formula>
    </cfRule>
    <cfRule type="cellIs" dxfId="7111" priority="10690" operator="equal">
      <formula>"ITAÚ"</formula>
    </cfRule>
    <cfRule type="cellIs" dxfId="7110" priority="10689" operator="between">
      <formula>"ITAÚ FILIAL"</formula>
      <formula>"ITAÚ FILIAL"</formula>
    </cfRule>
    <cfRule type="cellIs" dxfId="7109" priority="10688" operator="between">
      <formula>"ITAÚ FILIAL"</formula>
      <formula>"ITAÚ FILIAL"</formula>
    </cfRule>
    <cfRule type="cellIs" dxfId="7108" priority="10687" operator="between">
      <formula>"DAYCOVAL"</formula>
      <formula>"DAYCOVAL"</formula>
    </cfRule>
    <cfRule type="cellIs" dxfId="7107" priority="10686" operator="between">
      <formula>"SAFRA"</formula>
      <formula>"SAFRA"</formula>
    </cfRule>
    <cfRule type="cellIs" dxfId="7106" priority="10685" operator="between">
      <formula>"SAFRA"</formula>
      <formula>"SAFRA"</formula>
    </cfRule>
    <cfRule type="cellIs" dxfId="7105" priority="10684" operator="equal">
      <formula>"ITAÚ"</formula>
    </cfRule>
    <cfRule type="cellIs" dxfId="7104" priority="10683" operator="equal">
      <formula>"ITAÚ"</formula>
    </cfRule>
    <cfRule type="cellIs" dxfId="7103" priority="10682" operator="between">
      <formula>"ITAÚ MATRIZ"</formula>
      <formula>"ITAÚ MATRIZ"</formula>
    </cfRule>
    <cfRule type="cellIs" dxfId="7102" priority="10681" operator="between">
      <formula>"ITAÚ FILIAL"</formula>
      <formula>"ITAÚ FILIAL"</formula>
    </cfRule>
    <cfRule type="cellIs" dxfId="7101" priority="10680" operator="between">
      <formula>"ITAÚ FILIAL"</formula>
      <formula>"ITAÚ FILIAL"</formula>
    </cfRule>
    <cfRule type="cellIs" dxfId="7100" priority="10679" operator="between">
      <formula>"DAYCOVAL"</formula>
      <formula>"DAYCOVAL"</formula>
    </cfRule>
    <cfRule type="cellIs" dxfId="7099" priority="10678" operator="between">
      <formula>"SAFRA"</formula>
      <formula>"SAFRA"</formula>
    </cfRule>
    <cfRule type="cellIs" dxfId="7098" priority="10677" operator="between">
      <formula>"SAFRA"</formula>
      <formula>"SAFRA"</formula>
    </cfRule>
    <cfRule type="cellIs" dxfId="7097" priority="10676" operator="equal">
      <formula>"ITAÚ MATRIZ"</formula>
    </cfRule>
    <cfRule type="cellIs" dxfId="7096" priority="10675" operator="equal">
      <formula>"ITAÚ"</formula>
    </cfRule>
    <cfRule type="cellIs" dxfId="7095" priority="10674" operator="between">
      <formula>"ITAÚ MATRIZ"</formula>
      <formula>"ITAÚ MATRIZ"</formula>
    </cfRule>
    <cfRule type="cellIs" dxfId="7094" priority="10673" operator="equal">
      <formula>"ITAÚ MATRIZ"</formula>
    </cfRule>
    <cfRule type="cellIs" dxfId="7093" priority="10672" operator="equal">
      <formula>"ITAÚ"</formula>
    </cfRule>
    <cfRule type="cellIs" dxfId="7092" priority="10671" operator="between">
      <formula>"ITAÚ FILIAL"</formula>
      <formula>"ITAÚ FILIAL"</formula>
    </cfRule>
    <cfRule type="cellIs" dxfId="7091" priority="10670" operator="between">
      <formula>"ITAÚ FILIAL"</formula>
      <formula>"ITAÚ FILIAL"</formula>
    </cfRule>
    <cfRule type="cellIs" dxfId="7090" priority="10669" operator="between">
      <formula>"DAYCOVAL"</formula>
      <formula>"DAYCOVAL"</formula>
    </cfRule>
    <cfRule type="cellIs" dxfId="7089" priority="10668" operator="between">
      <formula>"SAFRA"</formula>
      <formula>"SAFRA"</formula>
    </cfRule>
    <cfRule type="cellIs" dxfId="7088" priority="10667" operator="between">
      <formula>"SAFRA"</formula>
      <formula>"SAFRA"</formula>
    </cfRule>
    <cfRule type="cellIs" dxfId="7087" priority="10666" operator="equal">
      <formula>"ITAÚ"</formula>
    </cfRule>
    <cfRule type="cellIs" dxfId="7086" priority="10665" operator="equal">
      <formula>"ITAÚ"</formula>
    </cfRule>
    <cfRule type="cellIs" dxfId="7085" priority="10664" operator="between">
      <formula>"ITAÚ MATRIZ"</formula>
      <formula>"ITAÚ MATRIZ"</formula>
    </cfRule>
    <cfRule type="cellIs" dxfId="7084" priority="10663" operator="between">
      <formula>"ITAÚ FILIAL"</formula>
      <formula>"ITAÚ FILIAL"</formula>
    </cfRule>
    <cfRule type="cellIs" dxfId="7083" priority="10662" operator="between">
      <formula>"ITAÚ FILIAL"</formula>
      <formula>"ITAÚ FILIAL"</formula>
    </cfRule>
    <cfRule type="cellIs" dxfId="7082" priority="10661" operator="between">
      <formula>"DAYCOVAL"</formula>
      <formula>"DAYCOVAL"</formula>
    </cfRule>
    <cfRule type="cellIs" dxfId="7081" priority="10660" operator="between">
      <formula>"SAFRA"</formula>
      <formula>"SAFRA"</formula>
    </cfRule>
    <cfRule type="cellIs" dxfId="7080" priority="10659" operator="between">
      <formula>"SAFRA"</formula>
      <formula>"SAFRA"</formula>
    </cfRule>
    <cfRule type="cellIs" dxfId="7079" priority="10658" operator="equal">
      <formula>"ITAÚ MATRIZ"</formula>
    </cfRule>
    <cfRule type="cellIs" dxfId="7078" priority="10657" operator="equal">
      <formula>"ITAÚ"</formula>
    </cfRule>
    <cfRule type="cellIs" dxfId="7077" priority="10656" operator="equal">
      <formula>"ITAÚ"</formula>
    </cfRule>
    <cfRule type="cellIs" dxfId="7076" priority="10655" operator="between">
      <formula>"ITAÚ MATRIZ"</formula>
      <formula>"ITAÚ MATRIZ"</formula>
    </cfRule>
    <cfRule type="cellIs" dxfId="7075" priority="10654" operator="between">
      <formula>"ITAÚ FILIAL"</formula>
      <formula>"ITAÚ FILIAL"</formula>
    </cfRule>
    <cfRule type="cellIs" dxfId="7074" priority="10653" operator="between">
      <formula>"ITAÚ FILIAL"</formula>
      <formula>"ITAÚ FILIAL"</formula>
    </cfRule>
    <cfRule type="cellIs" dxfId="7073" priority="10652" operator="between">
      <formula>"DAYCOVAL"</formula>
      <formula>"DAYCOVAL"</formula>
    </cfRule>
    <cfRule type="cellIs" dxfId="7072" priority="10651" operator="between">
      <formula>"SAFRA"</formula>
      <formula>"SAFRA"</formula>
    </cfRule>
    <cfRule type="cellIs" dxfId="7071" priority="10650" operator="between">
      <formula>"SAFRA"</formula>
      <formula>"SAFRA"</formula>
    </cfRule>
    <cfRule type="cellIs" dxfId="7070" priority="10649" operator="equal">
      <formula>"ITAÚ MATRIZ"</formula>
    </cfRule>
    <cfRule type="cellIs" dxfId="7069" priority="10648" operator="equal">
      <formula>"ITAÚ"</formula>
    </cfRule>
    <cfRule type="cellIs" dxfId="7068" priority="10647" operator="equal">
      <formula>"ITAÚ"</formula>
    </cfRule>
    <cfRule type="cellIs" dxfId="7067" priority="10646" operator="between">
      <formula>"ITAÚ MATRIZ"</formula>
      <formula>"ITAÚ MATRIZ"</formula>
    </cfRule>
    <cfRule type="cellIs" dxfId="7066" priority="10645" operator="between">
      <formula>"ITAÚ FILIAL"</formula>
      <formula>"ITAÚ FILIAL"</formula>
    </cfRule>
    <cfRule type="cellIs" dxfId="7065" priority="10644" operator="between">
      <formula>"ITAÚ FILIAL"</formula>
      <formula>"ITAÚ FILIAL"</formula>
    </cfRule>
    <cfRule type="cellIs" dxfId="7064" priority="10643" operator="between">
      <formula>"DAYCOVAL"</formula>
      <formula>"DAYCOVAL"</formula>
    </cfRule>
    <cfRule type="cellIs" dxfId="7063" priority="10642" operator="between">
      <formula>"SAFRA"</formula>
      <formula>"SAFRA"</formula>
    </cfRule>
    <cfRule type="cellIs" dxfId="7062" priority="10641" operator="between">
      <formula>"SAFRA"</formula>
      <formula>"SAFRA"</formula>
    </cfRule>
    <cfRule type="cellIs" dxfId="7061" priority="10640" operator="equal">
      <formula>"ITAÚ MATRIZ"</formula>
    </cfRule>
    <cfRule type="cellIs" dxfId="7060" priority="10639" operator="equal">
      <formula>"ITAÚ"</formula>
    </cfRule>
    <cfRule type="cellIs" dxfId="7059" priority="10638" operator="equal">
      <formula>"ITAÚ"</formula>
    </cfRule>
    <cfRule type="cellIs" dxfId="7058" priority="10637" operator="between">
      <formula>"ITAÚ MATRIZ"</formula>
      <formula>"ITAÚ MATRIZ"</formula>
    </cfRule>
    <cfRule type="cellIs" dxfId="7057" priority="10636" operator="between">
      <formula>"ITAÚ FILIAL"</formula>
      <formula>"ITAÚ FILIAL"</formula>
    </cfRule>
    <cfRule type="cellIs" dxfId="7056" priority="10635" operator="between">
      <formula>"ITAÚ FILIAL"</formula>
      <formula>"ITAÚ FILIAL"</formula>
    </cfRule>
    <cfRule type="cellIs" dxfId="7055" priority="10634" operator="between">
      <formula>"DAYCOVAL"</formula>
      <formula>"DAYCOVAL"</formula>
    </cfRule>
    <cfRule type="cellIs" dxfId="7054" priority="10633" operator="between">
      <formula>"SAFRA"</formula>
      <formula>"SAFRA"</formula>
    </cfRule>
    <cfRule type="cellIs" dxfId="7053" priority="10632" operator="between">
      <formula>"SAFRA"</formula>
      <formula>"SAFRA"</formula>
    </cfRule>
    <cfRule type="cellIs" dxfId="7052" priority="10631" operator="equal">
      <formula>"ITAÚ MATRIZ"</formula>
    </cfRule>
    <cfRule type="cellIs" dxfId="7051" priority="10630" operator="equal">
      <formula>"ITAÚ"</formula>
    </cfRule>
    <cfRule type="cellIs" dxfId="7050" priority="10629" operator="equal">
      <formula>"ITAÚ"</formula>
    </cfRule>
    <cfRule type="cellIs" dxfId="7049" priority="10628" operator="between">
      <formula>"ITAÚ MATRIZ"</formula>
      <formula>"ITAÚ MATRIZ"</formula>
    </cfRule>
    <cfRule type="cellIs" dxfId="7048" priority="10627" operator="between">
      <formula>"ITAÚ FILIAL"</formula>
      <formula>"ITAÚ FILIAL"</formula>
    </cfRule>
    <cfRule type="cellIs" dxfId="7047" priority="10626" operator="between">
      <formula>"ITAÚ FILIAL"</formula>
      <formula>"ITAÚ FILIAL"</formula>
    </cfRule>
    <cfRule type="cellIs" dxfId="7046" priority="10625" operator="between">
      <formula>"DAYCOVAL"</formula>
      <formula>"DAYCOVAL"</formula>
    </cfRule>
    <cfRule type="cellIs" dxfId="7045" priority="10624" operator="between">
      <formula>"SAFRA"</formula>
      <formula>"SAFRA"</formula>
    </cfRule>
    <cfRule type="cellIs" dxfId="7044" priority="10623" operator="between">
      <formula>"SAFRA"</formula>
      <formula>"SAFRA"</formula>
    </cfRule>
    <cfRule type="cellIs" dxfId="7043" priority="10622" operator="equal">
      <formula>"ITAÚ MATRIZ"</formula>
    </cfRule>
    <cfRule type="cellIs" dxfId="7042" priority="10621" operator="equal">
      <formula>"ITAÚ"</formula>
    </cfRule>
    <cfRule type="cellIs" dxfId="7041" priority="10620" operator="between">
      <formula>"ITAÚ MATRIZ"</formula>
      <formula>"ITAÚ MATRIZ"</formula>
    </cfRule>
    <cfRule type="cellIs" dxfId="7040" priority="10619" operator="equal">
      <formula>"ITAÚ MATRIZ"</formula>
    </cfRule>
    <cfRule type="cellIs" dxfId="7039" priority="10618" operator="equal">
      <formula>"ITAÚ"</formula>
    </cfRule>
    <cfRule type="cellIs" dxfId="7038" priority="10617" operator="between">
      <formula>"ITAÚ FILIAL"</formula>
      <formula>"ITAÚ FILIAL"</formula>
    </cfRule>
    <cfRule type="cellIs" dxfId="7037" priority="10616" operator="between">
      <formula>"ITAÚ FILIAL"</formula>
      <formula>"ITAÚ FILIAL"</formula>
    </cfRule>
    <cfRule type="cellIs" dxfId="7036" priority="10615" operator="between">
      <formula>"DAYCOVAL"</formula>
      <formula>"DAYCOVAL"</formula>
    </cfRule>
    <cfRule type="cellIs" dxfId="7035" priority="10614" operator="between">
      <formula>"SAFRA"</formula>
      <formula>"SAFRA"</formula>
    </cfRule>
    <cfRule type="cellIs" dxfId="7034" priority="10613" operator="between">
      <formula>"SAFRA"</formula>
      <formula>"SAFRA"</formula>
    </cfRule>
    <cfRule type="cellIs" dxfId="7033" priority="10612" operator="equal">
      <formula>"ITAÚ"</formula>
    </cfRule>
    <cfRule type="cellIs" dxfId="7032" priority="10611" operator="equal">
      <formula>"ITAÚ"</formula>
    </cfRule>
    <cfRule type="cellIs" dxfId="7031" priority="10610" operator="between">
      <formula>"ITAÚ MATRIZ"</formula>
      <formula>"ITAÚ MATRIZ"</formula>
    </cfRule>
    <cfRule type="cellIs" dxfId="7030" priority="10609" operator="between">
      <formula>"ITAÚ FILIAL"</formula>
      <formula>"ITAÚ FILIAL"</formula>
    </cfRule>
    <cfRule type="cellIs" dxfId="7029" priority="10608" operator="between">
      <formula>"ITAÚ FILIAL"</formula>
      <formula>"ITAÚ FILIAL"</formula>
    </cfRule>
    <cfRule type="cellIs" dxfId="7028" priority="10607" operator="between">
      <formula>"DAYCOVAL"</formula>
      <formula>"DAYCOVAL"</formula>
    </cfRule>
    <cfRule type="cellIs" dxfId="7027" priority="10606" operator="between">
      <formula>"SAFRA"</formula>
      <formula>"SAFRA"</formula>
    </cfRule>
    <cfRule type="cellIs" dxfId="7026" priority="10605" operator="between">
      <formula>"SAFRA"</formula>
      <formula>"SAFRA"</formula>
    </cfRule>
    <cfRule type="cellIs" dxfId="7025" priority="10604" operator="equal">
      <formula>"ITAÚ MATRIZ"</formula>
    </cfRule>
    <cfRule type="cellIs" dxfId="7024" priority="10603" operator="equal">
      <formula>"ITAÚ"</formula>
    </cfRule>
    <cfRule type="cellIs" dxfId="7023" priority="10602" operator="between">
      <formula>"ITAÚ MATRIZ"</formula>
      <formula>"ITAÚ MATRIZ"</formula>
    </cfRule>
    <cfRule type="cellIs" dxfId="7022" priority="10601" operator="equal">
      <formula>"ITAÚ MATRIZ"</formula>
    </cfRule>
    <cfRule type="cellIs" dxfId="7021" priority="10600" operator="equal">
      <formula>"ITAÚ"</formula>
    </cfRule>
    <cfRule type="cellIs" dxfId="7020" priority="10599" operator="between">
      <formula>"ITAÚ FILIAL"</formula>
      <formula>"ITAÚ FILIAL"</formula>
    </cfRule>
    <cfRule type="cellIs" dxfId="7019" priority="10598" operator="between">
      <formula>"ITAÚ FILIAL"</formula>
      <formula>"ITAÚ FILIAL"</formula>
    </cfRule>
    <cfRule type="cellIs" dxfId="7018" priority="10597" operator="between">
      <formula>"DAYCOVAL"</formula>
      <formula>"DAYCOVAL"</formula>
    </cfRule>
    <cfRule type="cellIs" dxfId="7017" priority="10596" operator="between">
      <formula>"SAFRA"</formula>
      <formula>"SAFRA"</formula>
    </cfRule>
    <cfRule type="cellIs" dxfId="7016" priority="10595" operator="between">
      <formula>"SAFRA"</formula>
      <formula>"SAFRA"</formula>
    </cfRule>
    <cfRule type="cellIs" dxfId="7015" priority="10594" operator="equal">
      <formula>"ITAÚ"</formula>
    </cfRule>
    <cfRule type="cellIs" dxfId="7014" priority="10593" operator="equal">
      <formula>"ITAÚ"</formula>
    </cfRule>
    <cfRule type="cellIs" dxfId="7013" priority="10592" operator="between">
      <formula>"ITAÚ MATRIZ"</formula>
      <formula>"ITAÚ MATRIZ"</formula>
    </cfRule>
    <cfRule type="cellIs" dxfId="7012" priority="10591" operator="between">
      <formula>"ITAÚ FILIAL"</formula>
      <formula>"ITAÚ FILIAL"</formula>
    </cfRule>
    <cfRule type="cellIs" dxfId="7011" priority="10590" operator="between">
      <formula>"ITAÚ FILIAL"</formula>
      <formula>"ITAÚ FILIAL"</formula>
    </cfRule>
    <cfRule type="cellIs" dxfId="7010" priority="10589" operator="between">
      <formula>"DAYCOVAL"</formula>
      <formula>"DAYCOVAL"</formula>
    </cfRule>
    <cfRule type="cellIs" dxfId="7009" priority="10588" operator="between">
      <formula>"SAFRA"</formula>
      <formula>"SAFRA"</formula>
    </cfRule>
    <cfRule type="cellIs" dxfId="7008" priority="10587" operator="between">
      <formula>"SAFRA"</formula>
      <formula>"SAFRA"</formula>
    </cfRule>
    <cfRule type="cellIs" dxfId="7007" priority="10586" operator="equal">
      <formula>"ITAÚ MATRIZ"</formula>
    </cfRule>
    <cfRule type="cellIs" dxfId="7006" priority="10585" operator="equal">
      <formula>"ITAÚ"</formula>
    </cfRule>
    <cfRule type="cellIs" dxfId="7005" priority="10584" operator="equal">
      <formula>"ITAÚ"</formula>
    </cfRule>
    <cfRule type="cellIs" dxfId="7004" priority="10583" operator="between">
      <formula>"ITAÚ MATRIZ"</formula>
      <formula>"ITAÚ MATRIZ"</formula>
    </cfRule>
    <cfRule type="cellIs" dxfId="7003" priority="10582" operator="between">
      <formula>"ITAÚ FILIAL"</formula>
      <formula>"ITAÚ FILIAL"</formula>
    </cfRule>
    <cfRule type="cellIs" dxfId="7002" priority="10581" operator="between">
      <formula>"ITAÚ FILIAL"</formula>
      <formula>"ITAÚ FILIAL"</formula>
    </cfRule>
    <cfRule type="cellIs" dxfId="7001" priority="10580" operator="between">
      <formula>"DAYCOVAL"</formula>
      <formula>"DAYCOVAL"</formula>
    </cfRule>
    <cfRule type="cellIs" dxfId="7000" priority="10579" operator="between">
      <formula>"SAFRA"</formula>
      <formula>"SAFRA"</formula>
    </cfRule>
    <cfRule type="cellIs" dxfId="6999" priority="10578" operator="between">
      <formula>"SAFRA"</formula>
      <formula>"SAFRA"</formula>
    </cfRule>
    <cfRule type="cellIs" dxfId="6998" priority="10577" operator="equal">
      <formula>"ITAÚ MATRIZ"</formula>
    </cfRule>
    <cfRule type="cellIs" dxfId="6997" priority="10576" operator="equal">
      <formula>"ITAÚ"</formula>
    </cfRule>
    <cfRule type="cellIs" dxfId="6996" priority="10575" operator="equal">
      <formula>"ITAÚ"</formula>
    </cfRule>
    <cfRule type="cellIs" dxfId="6995" priority="10574" operator="between">
      <formula>"ITAÚ MATRIZ"</formula>
      <formula>"ITAÚ MATRIZ"</formula>
    </cfRule>
    <cfRule type="cellIs" dxfId="6994" priority="10573" operator="between">
      <formula>"ITAÚ FILIAL"</formula>
      <formula>"ITAÚ FILIAL"</formula>
    </cfRule>
    <cfRule type="cellIs" dxfId="6993" priority="10572" operator="between">
      <formula>"ITAÚ FILIAL"</formula>
      <formula>"ITAÚ FILIAL"</formula>
    </cfRule>
    <cfRule type="cellIs" dxfId="6992" priority="10571" operator="between">
      <formula>"DAYCOVAL"</formula>
      <formula>"DAYCOVAL"</formula>
    </cfRule>
    <cfRule type="cellIs" dxfId="6991" priority="10570" operator="between">
      <formula>"SAFRA"</formula>
      <formula>"SAFRA"</formula>
    </cfRule>
    <cfRule type="cellIs" dxfId="6990" priority="10569" operator="between">
      <formula>"SAFRA"</formula>
      <formula>"SAFRA"</formula>
    </cfRule>
    <cfRule type="cellIs" dxfId="6989" priority="10568" operator="equal">
      <formula>"ITAÚ MATRIZ"</formula>
    </cfRule>
    <cfRule type="cellIs" dxfId="6988" priority="10567" operator="equal">
      <formula>"ITAÚ"</formula>
    </cfRule>
    <cfRule type="cellIs" dxfId="6987" priority="10566" operator="equal">
      <formula>"ITAÚ"</formula>
    </cfRule>
    <cfRule type="cellIs" dxfId="6986" priority="10565" operator="between">
      <formula>"ITAÚ MATRIZ"</formula>
      <formula>"ITAÚ MATRIZ"</formula>
    </cfRule>
    <cfRule type="cellIs" dxfId="6985" priority="10564" operator="between">
      <formula>"ITAÚ FILIAL"</formula>
      <formula>"ITAÚ FILIAL"</formula>
    </cfRule>
    <cfRule type="cellIs" dxfId="6984" priority="10563" operator="between">
      <formula>"ITAÚ FILIAL"</formula>
      <formula>"ITAÚ FILIAL"</formula>
    </cfRule>
    <cfRule type="cellIs" dxfId="6983" priority="10562" operator="between">
      <formula>"DAYCOVAL"</formula>
      <formula>"DAYCOVAL"</formula>
    </cfRule>
    <cfRule type="cellIs" dxfId="6982" priority="10561" operator="between">
      <formula>"SAFRA"</formula>
      <formula>"SAFRA"</formula>
    </cfRule>
    <cfRule type="cellIs" dxfId="6981" priority="10560" operator="between">
      <formula>"SAFRA"</formula>
      <formula>"SAFRA"</formula>
    </cfRule>
    <cfRule type="cellIs" dxfId="6980" priority="10559" operator="equal">
      <formula>"ITAÚ MATRIZ"</formula>
    </cfRule>
    <cfRule type="cellIs" dxfId="6979" priority="10558" operator="equal">
      <formula>"ITAÚ"</formula>
    </cfRule>
    <cfRule type="cellIs" dxfId="6978" priority="10557" operator="equal">
      <formula>"ITAÚ"</formula>
    </cfRule>
    <cfRule type="cellIs" dxfId="6977" priority="10556" operator="between">
      <formula>"ITAÚ MATRIZ"</formula>
      <formula>"ITAÚ MATRIZ"</formula>
    </cfRule>
    <cfRule type="cellIs" dxfId="6976" priority="10555" operator="between">
      <formula>"ITAÚ FILIAL"</formula>
      <formula>"ITAÚ FILIAL"</formula>
    </cfRule>
    <cfRule type="cellIs" dxfId="6975" priority="10554" operator="between">
      <formula>"ITAÚ FILIAL"</formula>
      <formula>"ITAÚ FILIAL"</formula>
    </cfRule>
    <cfRule type="cellIs" dxfId="6974" priority="10553" operator="between">
      <formula>"DAYCOVAL"</formula>
      <formula>"DAYCOVAL"</formula>
    </cfRule>
    <cfRule type="cellIs" dxfId="6973" priority="10552" operator="between">
      <formula>"SAFRA"</formula>
      <formula>"SAFRA"</formula>
    </cfRule>
    <cfRule type="cellIs" dxfId="6972" priority="10551" operator="between">
      <formula>"SAFRA"</formula>
      <formula>"SAFRA"</formula>
    </cfRule>
    <cfRule type="cellIs" dxfId="6971" priority="10550" operator="equal">
      <formula>"ITAÚ MATRIZ"</formula>
    </cfRule>
    <cfRule type="cellIs" dxfId="6970" priority="10549" operator="equal">
      <formula>"ITAÚ"</formula>
    </cfRule>
    <cfRule type="cellIs" dxfId="6969" priority="10548" operator="between">
      <formula>"ITAÚ MATRIZ"</formula>
      <formula>"ITAÚ MATRIZ"</formula>
    </cfRule>
    <cfRule type="cellIs" dxfId="6968" priority="10547" operator="equal">
      <formula>"ITAÚ MATRIZ"</formula>
    </cfRule>
    <cfRule type="cellIs" dxfId="6967" priority="10546" operator="equal">
      <formula>"ITAÚ"</formula>
    </cfRule>
    <cfRule type="cellIs" dxfId="6966" priority="10545" operator="between">
      <formula>"ITAÚ FILIAL"</formula>
      <formula>"ITAÚ FILIAL"</formula>
    </cfRule>
    <cfRule type="cellIs" dxfId="6965" priority="10544" operator="between">
      <formula>"ITAÚ FILIAL"</formula>
      <formula>"ITAÚ FILIAL"</formula>
    </cfRule>
    <cfRule type="cellIs" dxfId="6964" priority="10543" operator="between">
      <formula>"DAYCOVAL"</formula>
      <formula>"DAYCOVAL"</formula>
    </cfRule>
    <cfRule type="cellIs" dxfId="6963" priority="10542" operator="between">
      <formula>"SAFRA"</formula>
      <formula>"SAFRA"</formula>
    </cfRule>
    <cfRule type="cellIs" dxfId="6962" priority="10541" operator="between">
      <formula>"SAFRA"</formula>
      <formula>"SAFRA"</formula>
    </cfRule>
    <cfRule type="cellIs" dxfId="6961" priority="10540" operator="equal">
      <formula>"ITAÚ"</formula>
    </cfRule>
    <cfRule type="cellIs" dxfId="6960" priority="10539" operator="equal">
      <formula>"ITAÚ"</formula>
    </cfRule>
    <cfRule type="cellIs" dxfId="6959" priority="10538" operator="between">
      <formula>"ITAÚ MATRIZ"</formula>
      <formula>"ITAÚ MATRIZ"</formula>
    </cfRule>
    <cfRule type="cellIs" dxfId="6958" priority="10537" operator="between">
      <formula>"ITAÚ FILIAL"</formula>
      <formula>"ITAÚ FILIAL"</formula>
    </cfRule>
    <cfRule type="cellIs" dxfId="6957" priority="10536" operator="between">
      <formula>"ITAÚ FILIAL"</formula>
      <formula>"ITAÚ FILIAL"</formula>
    </cfRule>
    <cfRule type="cellIs" dxfId="6956" priority="10535" operator="between">
      <formula>"DAYCOVAL"</formula>
      <formula>"DAYCOVAL"</formula>
    </cfRule>
    <cfRule type="cellIs" dxfId="6955" priority="10534" operator="between">
      <formula>"SAFRA"</formula>
      <formula>"SAFRA"</formula>
    </cfRule>
    <cfRule type="cellIs" dxfId="6954" priority="10533" operator="between">
      <formula>"SAFRA"</formula>
      <formula>"SAFRA"</formula>
    </cfRule>
    <cfRule type="cellIs" dxfId="6953" priority="10532" operator="equal">
      <formula>"ITAÚ MATRIZ"</formula>
    </cfRule>
    <cfRule type="cellIs" dxfId="6952" priority="10939" operator="equal">
      <formula>"ITAÚ"</formula>
    </cfRule>
    <cfRule type="cellIs" dxfId="6951" priority="10839" operator="between">
      <formula>"ITAÚ MATRIZ"</formula>
      <formula>"ITAÚ MATRIZ"</formula>
    </cfRule>
    <cfRule type="cellIs" dxfId="6950" priority="10841" operator="equal">
      <formula>"ITAÚ MATRIZ"</formula>
    </cfRule>
    <cfRule type="cellIs" dxfId="6949" priority="10720" operator="equal">
      <formula>"ITAÚ"</formula>
    </cfRule>
  </conditionalFormatting>
  <conditionalFormatting sqref="I43:I44">
    <cfRule type="cellIs" dxfId="6948" priority="10283" operator="between">
      <formula>"SAFRA"</formula>
      <formula>"SAFRA"</formula>
    </cfRule>
    <cfRule type="cellIs" dxfId="6947" priority="10282" operator="between">
      <formula>"SAFRA"</formula>
      <formula>"SAFRA"</formula>
    </cfRule>
    <cfRule type="cellIs" dxfId="6946" priority="10194" operator="between">
      <formula>"SAFRA"</formula>
      <formula>"SAFRA"</formula>
    </cfRule>
    <cfRule type="cellIs" dxfId="6945" priority="10192" operator="equal">
      <formula>"ITAÚ MATRIZ"</formula>
    </cfRule>
    <cfRule type="cellIs" dxfId="6944" priority="10287" operator="equal">
      <formula>"ITAÚ"</formula>
    </cfRule>
    <cfRule type="cellIs" dxfId="6943" priority="10288" operator="equal">
      <formula>"ITAÚ MATRIZ"</formula>
    </cfRule>
    <cfRule type="cellIs" dxfId="6942" priority="10289" operator="between">
      <formula>"ITAÚ MATRIZ"</formula>
      <formula>"ITAÚ MATRIZ"</formula>
    </cfRule>
    <cfRule type="cellIs" dxfId="6941" priority="10290" operator="equal">
      <formula>"ITAÚ"</formula>
    </cfRule>
    <cfRule type="cellIs" dxfId="6940" priority="10285" operator="between">
      <formula>"ITAÚ FILIAL"</formula>
      <formula>"ITAÚ FILIAL"</formula>
    </cfRule>
    <cfRule type="cellIs" dxfId="6939" priority="10097" operator="between">
      <formula>"ITAÚ FILIAL"</formula>
      <formula>"ITAÚ FILIAL"</formula>
    </cfRule>
    <cfRule type="cellIs" dxfId="6938" priority="10098" operator="between">
      <formula>"ITAÚ FILIAL"</formula>
      <formula>"ITAÚ FILIAL"</formula>
    </cfRule>
    <cfRule type="cellIs" dxfId="6937" priority="10099" operator="between">
      <formula>"ITAÚ MATRIZ"</formula>
      <formula>"ITAÚ MATRIZ"</formula>
    </cfRule>
    <cfRule type="cellIs" dxfId="6936" priority="10102" operator="equal">
      <formula>"ITAÚ MATRIZ"</formula>
    </cfRule>
    <cfRule type="cellIs" dxfId="6935" priority="10103" operator="between">
      <formula>"SAFRA"</formula>
      <formula>"SAFRA"</formula>
    </cfRule>
    <cfRule type="cellIs" dxfId="6934" priority="10104" operator="between">
      <formula>"SAFRA"</formula>
      <formula>"SAFRA"</formula>
    </cfRule>
    <cfRule type="cellIs" dxfId="6933" priority="10105" operator="between">
      <formula>"DAYCOVAL"</formula>
      <formula>"DAYCOVAL"</formula>
    </cfRule>
    <cfRule type="cellIs" dxfId="6932" priority="10106" operator="between">
      <formula>"ITAÚ FILIAL"</formula>
      <formula>"ITAÚ FILIAL"</formula>
    </cfRule>
    <cfRule type="cellIs" dxfId="6931" priority="10107" operator="between">
      <formula>"ITAÚ FILIAL"</formula>
      <formula>"ITAÚ FILIAL"</formula>
    </cfRule>
    <cfRule type="cellIs" dxfId="6930" priority="10108" operator="between">
      <formula>"ITAÚ MATRIZ"</formula>
      <formula>"ITAÚ MATRIZ"</formula>
    </cfRule>
    <cfRule type="cellIs" dxfId="6929" priority="10109" operator="equal">
      <formula>"ITAÚ"</formula>
    </cfRule>
    <cfRule type="cellIs" dxfId="6928" priority="10110" operator="equal">
      <formula>"ITAÚ"</formula>
    </cfRule>
    <cfRule type="cellIs" dxfId="6927" priority="10111" operator="between">
      <formula>"SAFRA"</formula>
      <formula>"SAFRA"</formula>
    </cfRule>
    <cfRule type="cellIs" dxfId="6926" priority="10112" operator="between">
      <formula>"SAFRA"</formula>
      <formula>"SAFRA"</formula>
    </cfRule>
    <cfRule type="cellIs" dxfId="6925" priority="10113" operator="between">
      <formula>"DAYCOVAL"</formula>
      <formula>"DAYCOVAL"</formula>
    </cfRule>
    <cfRule type="cellIs" dxfId="6924" priority="10114" operator="between">
      <formula>"ITAÚ FILIAL"</formula>
      <formula>"ITAÚ FILIAL"</formula>
    </cfRule>
    <cfRule type="cellIs" dxfId="6923" priority="10115" operator="between">
      <formula>"ITAÚ FILIAL"</formula>
      <formula>"ITAÚ FILIAL"</formula>
    </cfRule>
    <cfRule type="cellIs" dxfId="6922" priority="10116" operator="equal">
      <formula>"ITAÚ"</formula>
    </cfRule>
    <cfRule type="cellIs" dxfId="6921" priority="10117" operator="equal">
      <formula>"ITAÚ MATRIZ"</formula>
    </cfRule>
    <cfRule type="cellIs" dxfId="6920" priority="10118" operator="between">
      <formula>"ITAÚ MATRIZ"</formula>
      <formula>"ITAÚ MATRIZ"</formula>
    </cfRule>
    <cfRule type="cellIs" dxfId="6919" priority="10119" operator="equal">
      <formula>"ITAÚ"</formula>
    </cfRule>
    <cfRule type="cellIs" dxfId="6918" priority="10120" operator="equal">
      <formula>"ITAÚ MATRIZ"</formula>
    </cfRule>
    <cfRule type="cellIs" dxfId="6917" priority="10121" operator="between">
      <formula>"SAFRA"</formula>
      <formula>"SAFRA"</formula>
    </cfRule>
    <cfRule type="cellIs" dxfId="6916" priority="10122" operator="between">
      <formula>"SAFRA"</formula>
      <formula>"SAFRA"</formula>
    </cfRule>
    <cfRule type="cellIs" dxfId="6915" priority="10123" operator="between">
      <formula>"DAYCOVAL"</formula>
      <formula>"DAYCOVAL"</formula>
    </cfRule>
    <cfRule type="cellIs" dxfId="6914" priority="10124" operator="between">
      <formula>"ITAÚ FILIAL"</formula>
      <formula>"ITAÚ FILIAL"</formula>
    </cfRule>
    <cfRule type="cellIs" dxfId="6913" priority="10125" operator="between">
      <formula>"ITAÚ FILIAL"</formula>
      <formula>"ITAÚ FILIAL"</formula>
    </cfRule>
    <cfRule type="cellIs" dxfId="6912" priority="10126" operator="between">
      <formula>"ITAÚ MATRIZ"</formula>
      <formula>"ITAÚ MATRIZ"</formula>
    </cfRule>
    <cfRule type="cellIs" dxfId="6911" priority="10127" operator="equal">
      <formula>"ITAÚ"</formula>
    </cfRule>
    <cfRule type="cellIs" dxfId="6910" priority="10128" operator="equal">
      <formula>"ITAÚ"</formula>
    </cfRule>
    <cfRule type="cellIs" dxfId="6909" priority="10129" operator="equal">
      <formula>"ITAÚ MATRIZ"</formula>
    </cfRule>
    <cfRule type="cellIs" dxfId="6908" priority="10130" operator="between">
      <formula>"SAFRA"</formula>
      <formula>"SAFRA"</formula>
    </cfRule>
    <cfRule type="cellIs" dxfId="6907" priority="10131" operator="between">
      <formula>"SAFRA"</formula>
      <formula>"SAFRA"</formula>
    </cfRule>
    <cfRule type="cellIs" dxfId="6906" priority="10132" operator="between">
      <formula>"DAYCOVAL"</formula>
      <formula>"DAYCOVAL"</formula>
    </cfRule>
    <cfRule type="cellIs" dxfId="6905" priority="10133" operator="between">
      <formula>"ITAÚ FILIAL"</formula>
      <formula>"ITAÚ FILIAL"</formula>
    </cfRule>
    <cfRule type="cellIs" dxfId="6904" priority="10134" operator="between">
      <formula>"ITAÚ FILIAL"</formula>
      <formula>"ITAÚ FILIAL"</formula>
    </cfRule>
    <cfRule type="cellIs" dxfId="6903" priority="10135" operator="between">
      <formula>"ITAÚ MATRIZ"</formula>
      <formula>"ITAÚ MATRIZ"</formula>
    </cfRule>
    <cfRule type="cellIs" dxfId="6902" priority="10136" operator="equal">
      <formula>"ITAÚ"</formula>
    </cfRule>
    <cfRule type="cellIs" dxfId="6901" priority="10137" operator="equal">
      <formula>"ITAÚ"</formula>
    </cfRule>
    <cfRule type="cellIs" dxfId="6900" priority="10138" operator="equal">
      <formula>"ITAÚ MATRIZ"</formula>
    </cfRule>
    <cfRule type="cellIs" dxfId="6899" priority="10139" operator="between">
      <formula>"SAFRA"</formula>
      <formula>"SAFRA"</formula>
    </cfRule>
    <cfRule type="cellIs" dxfId="6898" priority="10140" operator="between">
      <formula>"SAFRA"</formula>
      <formula>"SAFRA"</formula>
    </cfRule>
    <cfRule type="cellIs" dxfId="6897" priority="10141" operator="between">
      <formula>"DAYCOVAL"</formula>
      <formula>"DAYCOVAL"</formula>
    </cfRule>
    <cfRule type="cellIs" dxfId="6896" priority="10142" operator="between">
      <formula>"ITAÚ FILIAL"</formula>
      <formula>"ITAÚ FILIAL"</formula>
    </cfRule>
    <cfRule type="cellIs" dxfId="6895" priority="10143" operator="between">
      <formula>"ITAÚ FILIAL"</formula>
      <formula>"ITAÚ FILIAL"</formula>
    </cfRule>
    <cfRule type="cellIs" dxfId="6894" priority="10144" operator="between">
      <formula>"ITAÚ MATRIZ"</formula>
      <formula>"ITAÚ MATRIZ"</formula>
    </cfRule>
    <cfRule type="cellIs" dxfId="6893" priority="10145" operator="equal">
      <formula>"ITAÚ"</formula>
    </cfRule>
    <cfRule type="cellIs" dxfId="6892" priority="10146" operator="equal">
      <formula>"ITAÚ"</formula>
    </cfRule>
    <cfRule type="cellIs" dxfId="6891" priority="10147" operator="equal">
      <formula>"ITAÚ MATRIZ"</formula>
    </cfRule>
    <cfRule type="cellIs" dxfId="6890" priority="10148" operator="between">
      <formula>"SAFRA"</formula>
      <formula>"SAFRA"</formula>
    </cfRule>
    <cfRule type="cellIs" dxfId="6889" priority="10149" operator="between">
      <formula>"SAFRA"</formula>
      <formula>"SAFRA"</formula>
    </cfRule>
    <cfRule type="cellIs" dxfId="6888" priority="10150" operator="between">
      <formula>"DAYCOVAL"</formula>
      <formula>"DAYCOVAL"</formula>
    </cfRule>
    <cfRule type="cellIs" dxfId="6887" priority="10151" operator="between">
      <formula>"ITAÚ FILIAL"</formula>
      <formula>"ITAÚ FILIAL"</formula>
    </cfRule>
    <cfRule type="cellIs" dxfId="6886" priority="10152" operator="between">
      <formula>"ITAÚ FILIAL"</formula>
      <formula>"ITAÚ FILIAL"</formula>
    </cfRule>
    <cfRule type="cellIs" dxfId="6885" priority="10153" operator="between">
      <formula>"ITAÚ MATRIZ"</formula>
      <formula>"ITAÚ MATRIZ"</formula>
    </cfRule>
    <cfRule type="cellIs" dxfId="6884" priority="10154" operator="equal">
      <formula>"ITAÚ"</formula>
    </cfRule>
    <cfRule type="cellIs" dxfId="6883" priority="10155" operator="equal">
      <formula>"ITAÚ"</formula>
    </cfRule>
    <cfRule type="cellIs" dxfId="6882" priority="10156" operator="equal">
      <formula>"ITAÚ MATRIZ"</formula>
    </cfRule>
    <cfRule type="cellIs" dxfId="6881" priority="10157" operator="between">
      <formula>"SAFRA"</formula>
      <formula>"SAFRA"</formula>
    </cfRule>
    <cfRule type="cellIs" dxfId="6880" priority="10158" operator="between">
      <formula>"SAFRA"</formula>
      <formula>"SAFRA"</formula>
    </cfRule>
    <cfRule type="cellIs" dxfId="6879" priority="10159" operator="between">
      <formula>"DAYCOVAL"</formula>
      <formula>"DAYCOVAL"</formula>
    </cfRule>
    <cfRule type="cellIs" dxfId="6878" priority="10160" operator="between">
      <formula>"ITAÚ FILIAL"</formula>
      <formula>"ITAÚ FILIAL"</formula>
    </cfRule>
    <cfRule type="cellIs" dxfId="6877" priority="10161" operator="between">
      <formula>"ITAÚ FILIAL"</formula>
      <formula>"ITAÚ FILIAL"</formula>
    </cfRule>
    <cfRule type="cellIs" dxfId="6876" priority="10162" operator="between">
      <formula>"ITAÚ MATRIZ"</formula>
      <formula>"ITAÚ MATRIZ"</formula>
    </cfRule>
    <cfRule type="cellIs" dxfId="6875" priority="10163" operator="equal">
      <formula>"ITAÚ"</formula>
    </cfRule>
    <cfRule type="cellIs" dxfId="6874" priority="10164" operator="equal">
      <formula>"ITAÚ"</formula>
    </cfRule>
    <cfRule type="cellIs" dxfId="6873" priority="10165" operator="between">
      <formula>"SAFRA"</formula>
      <formula>"SAFRA"</formula>
    </cfRule>
    <cfRule type="cellIs" dxfId="6872" priority="10186" operator="between">
      <formula>"ITAÚ FILIAL"</formula>
      <formula>"ITAÚ FILIAL"</formula>
    </cfRule>
    <cfRule type="cellIs" dxfId="6871" priority="10184" operator="between">
      <formula>"SAFRA"</formula>
      <formula>"SAFRA"</formula>
    </cfRule>
    <cfRule type="cellIs" dxfId="6870" priority="10166" operator="between">
      <formula>"SAFRA"</formula>
      <formula>"SAFRA"</formula>
    </cfRule>
    <cfRule type="cellIs" dxfId="6869" priority="10167" operator="between">
      <formula>"DAYCOVAL"</formula>
      <formula>"DAYCOVAL"</formula>
    </cfRule>
    <cfRule type="cellIs" dxfId="6868" priority="10168" operator="between">
      <formula>"ITAÚ FILIAL"</formula>
      <formula>"ITAÚ FILIAL"</formula>
    </cfRule>
    <cfRule type="cellIs" dxfId="6867" priority="10169" operator="between">
      <formula>"ITAÚ FILIAL"</formula>
      <formula>"ITAÚ FILIAL"</formula>
    </cfRule>
    <cfRule type="cellIs" dxfId="6866" priority="10170" operator="equal">
      <formula>"ITAÚ"</formula>
    </cfRule>
    <cfRule type="cellIs" dxfId="6865" priority="10171" operator="equal">
      <formula>"ITAÚ MATRIZ"</formula>
    </cfRule>
    <cfRule type="cellIs" dxfId="6864" priority="10172" operator="between">
      <formula>"ITAÚ MATRIZ"</formula>
      <formula>"ITAÚ MATRIZ"</formula>
    </cfRule>
    <cfRule type="cellIs" dxfId="6863" priority="10173" operator="equal">
      <formula>"ITAÚ"</formula>
    </cfRule>
    <cfRule type="cellIs" dxfId="6862" priority="10174" operator="equal">
      <formula>"ITAÚ MATRIZ"</formula>
    </cfRule>
    <cfRule type="cellIs" dxfId="6861" priority="10175" operator="between">
      <formula>"SAFRA"</formula>
      <formula>"SAFRA"</formula>
    </cfRule>
    <cfRule type="cellIs" dxfId="6860" priority="10176" operator="between">
      <formula>"SAFRA"</formula>
      <formula>"SAFRA"</formula>
    </cfRule>
    <cfRule type="cellIs" dxfId="6859" priority="10177" operator="between">
      <formula>"DAYCOVAL"</formula>
      <formula>"DAYCOVAL"</formula>
    </cfRule>
    <cfRule type="cellIs" dxfId="6858" priority="10178" operator="between">
      <formula>"ITAÚ FILIAL"</formula>
      <formula>"ITAÚ FILIAL"</formula>
    </cfRule>
    <cfRule type="cellIs" dxfId="6857" priority="10179" operator="between">
      <formula>"ITAÚ FILIAL"</formula>
      <formula>"ITAÚ FILIAL"</formula>
    </cfRule>
    <cfRule type="cellIs" dxfId="6856" priority="10180" operator="between">
      <formula>"ITAÚ MATRIZ"</formula>
      <formula>"ITAÚ MATRIZ"</formula>
    </cfRule>
    <cfRule type="cellIs" dxfId="6855" priority="10181" operator="equal">
      <formula>"ITAÚ"</formula>
    </cfRule>
    <cfRule type="cellIs" dxfId="6854" priority="10182" operator="equal">
      <formula>"ITAÚ"</formula>
    </cfRule>
    <cfRule type="cellIs" dxfId="6853" priority="10183" operator="between">
      <formula>"SAFRA"</formula>
      <formula>"SAFRA"</formula>
    </cfRule>
    <cfRule type="cellIs" dxfId="6852" priority="10185" operator="between">
      <formula>"DAYCOVAL"</formula>
      <formula>"DAYCOVAL"</formula>
    </cfRule>
    <cfRule type="cellIs" dxfId="6851" priority="10187" operator="between">
      <formula>"ITAÚ FILIAL"</formula>
      <formula>"ITAÚ FILIAL"</formula>
    </cfRule>
    <cfRule type="cellIs" dxfId="6850" priority="10188" operator="equal">
      <formula>"ITAÚ"</formula>
    </cfRule>
    <cfRule type="cellIs" dxfId="6849" priority="10286" operator="between">
      <formula>"ITAÚ FILIAL"</formula>
      <formula>"ITAÚ FILIAL"</formula>
    </cfRule>
    <cfRule type="cellIs" dxfId="6848" priority="10190" operator="between">
      <formula>"ITAÚ MATRIZ"</formula>
      <formula>"ITAÚ MATRIZ"</formula>
    </cfRule>
    <cfRule type="cellIs" dxfId="6847" priority="10191" operator="equal">
      <formula>"ITAÚ"</formula>
    </cfRule>
    <cfRule type="cellIs" dxfId="6846" priority="10193" operator="between">
      <formula>"SAFRA"</formula>
      <formula>"SAFRA"</formula>
    </cfRule>
    <cfRule type="cellIs" dxfId="6845" priority="10284" operator="between">
      <formula>"DAYCOVAL"</formula>
      <formula>"DAYCOVAL"</formula>
    </cfRule>
    <cfRule type="cellIs" dxfId="6844" priority="10195" operator="between">
      <formula>"DAYCOVAL"</formula>
      <formula>"DAYCOVAL"</formula>
    </cfRule>
    <cfRule type="cellIs" dxfId="6843" priority="10196" operator="between">
      <formula>"ITAÚ FILIAL"</formula>
      <formula>"ITAÚ FILIAL"</formula>
    </cfRule>
    <cfRule type="cellIs" dxfId="6842" priority="10197" operator="between">
      <formula>"ITAÚ FILIAL"</formula>
      <formula>"ITAÚ FILIAL"</formula>
    </cfRule>
    <cfRule type="cellIs" dxfId="6841" priority="10198" operator="between">
      <formula>"ITAÚ MATRIZ"</formula>
      <formula>"ITAÚ MATRIZ"</formula>
    </cfRule>
    <cfRule type="cellIs" dxfId="6840" priority="10199" operator="equal">
      <formula>"ITAÚ"</formula>
    </cfRule>
    <cfRule type="cellIs" dxfId="6839" priority="10200" operator="equal">
      <formula>"ITAÚ"</formula>
    </cfRule>
    <cfRule type="cellIs" dxfId="6838" priority="10201" operator="equal">
      <formula>"ITAÚ MATRIZ"</formula>
    </cfRule>
    <cfRule type="cellIs" dxfId="6837" priority="10202" operator="between">
      <formula>"SAFRA"</formula>
      <formula>"SAFRA"</formula>
    </cfRule>
    <cfRule type="cellIs" dxfId="6836" priority="10203" operator="between">
      <formula>"SAFRA"</formula>
      <formula>"SAFRA"</formula>
    </cfRule>
    <cfRule type="cellIs" dxfId="6835" priority="10204" operator="between">
      <formula>"DAYCOVAL"</formula>
      <formula>"DAYCOVAL"</formula>
    </cfRule>
    <cfRule type="cellIs" dxfId="6834" priority="10205" operator="between">
      <formula>"ITAÚ FILIAL"</formula>
      <formula>"ITAÚ FILIAL"</formula>
    </cfRule>
    <cfRule type="cellIs" dxfId="6833" priority="10206" operator="between">
      <formula>"ITAÚ FILIAL"</formula>
      <formula>"ITAÚ FILIAL"</formula>
    </cfRule>
    <cfRule type="cellIs" dxfId="6832" priority="10207" operator="between">
      <formula>"ITAÚ MATRIZ"</formula>
      <formula>"ITAÚ MATRIZ"</formula>
    </cfRule>
    <cfRule type="cellIs" dxfId="6831" priority="10208" operator="equal">
      <formula>"ITAÚ"</formula>
    </cfRule>
    <cfRule type="cellIs" dxfId="6830" priority="10209" operator="equal">
      <formula>"ITAÚ"</formula>
    </cfRule>
    <cfRule type="cellIs" dxfId="6829" priority="10210" operator="equal">
      <formula>"ITAÚ MATRIZ"</formula>
    </cfRule>
    <cfRule type="cellIs" dxfId="6828" priority="10211" operator="between">
      <formula>"SAFRA"</formula>
      <formula>"SAFRA"</formula>
    </cfRule>
    <cfRule type="cellIs" dxfId="6827" priority="10212" operator="between">
      <formula>"SAFRA"</formula>
      <formula>"SAFRA"</formula>
    </cfRule>
    <cfRule type="cellIs" dxfId="6826" priority="10213" operator="between">
      <formula>"DAYCOVAL"</formula>
      <formula>"DAYCOVAL"</formula>
    </cfRule>
    <cfRule type="cellIs" dxfId="6825" priority="10214" operator="between">
      <formula>"ITAÚ FILIAL"</formula>
      <formula>"ITAÚ FILIAL"</formula>
    </cfRule>
    <cfRule type="cellIs" dxfId="6824" priority="10215" operator="between">
      <formula>"ITAÚ FILIAL"</formula>
      <formula>"ITAÚ FILIAL"</formula>
    </cfRule>
    <cfRule type="cellIs" dxfId="6823" priority="10216" operator="between">
      <formula>"ITAÚ MATRIZ"</formula>
      <formula>"ITAÚ MATRIZ"</formula>
    </cfRule>
    <cfRule type="cellIs" dxfId="6822" priority="10217" operator="equal">
      <formula>"ITAÚ"</formula>
    </cfRule>
    <cfRule type="cellIs" dxfId="6821" priority="10218" operator="equal">
      <formula>"ITAÚ"</formula>
    </cfRule>
    <cfRule type="cellIs" dxfId="6820" priority="10219" operator="equal">
      <formula>"ITAÚ MATRIZ"</formula>
    </cfRule>
    <cfRule type="cellIs" dxfId="6819" priority="10220" operator="between">
      <formula>"SAFRA"</formula>
      <formula>"SAFRA"</formula>
    </cfRule>
    <cfRule type="cellIs" dxfId="6818" priority="10221" operator="between">
      <formula>"SAFRA"</formula>
      <formula>"SAFRA"</formula>
    </cfRule>
    <cfRule type="cellIs" dxfId="6817" priority="10222" operator="between">
      <formula>"DAYCOVAL"</formula>
      <formula>"DAYCOVAL"</formula>
    </cfRule>
    <cfRule type="cellIs" dxfId="6816" priority="10223" operator="between">
      <formula>"ITAÚ FILIAL"</formula>
      <formula>"ITAÚ FILIAL"</formula>
    </cfRule>
    <cfRule type="cellIs" dxfId="6815" priority="10224" operator="between">
      <formula>"ITAÚ FILIAL"</formula>
      <formula>"ITAÚ FILIAL"</formula>
    </cfRule>
    <cfRule type="cellIs" dxfId="6814" priority="10225" operator="between">
      <formula>"ITAÚ MATRIZ"</formula>
      <formula>"ITAÚ MATRIZ"</formula>
    </cfRule>
    <cfRule type="cellIs" dxfId="6813" priority="10226" operator="equal">
      <formula>"ITAÚ"</formula>
    </cfRule>
    <cfRule type="cellIs" dxfId="6812" priority="10227" operator="equal">
      <formula>"ITAÚ"</formula>
    </cfRule>
    <cfRule type="cellIs" dxfId="6811" priority="10228" operator="equal">
      <formula>"ITAÚ MATRIZ"</formula>
    </cfRule>
    <cfRule type="cellIs" dxfId="6810" priority="10229" operator="between">
      <formula>"SAFRA"</formula>
      <formula>"SAFRA"</formula>
    </cfRule>
    <cfRule type="cellIs" dxfId="6809" priority="10230" operator="between">
      <formula>"SAFRA"</formula>
      <formula>"SAFRA"</formula>
    </cfRule>
    <cfRule type="cellIs" dxfId="6808" priority="10231" operator="between">
      <formula>"DAYCOVAL"</formula>
      <formula>"DAYCOVAL"</formula>
    </cfRule>
    <cfRule type="cellIs" dxfId="6807" priority="10232" operator="between">
      <formula>"ITAÚ FILIAL"</formula>
      <formula>"ITAÚ FILIAL"</formula>
    </cfRule>
    <cfRule type="cellIs" dxfId="6806" priority="10233" operator="between">
      <formula>"ITAÚ FILIAL"</formula>
      <formula>"ITAÚ FILIAL"</formula>
    </cfRule>
    <cfRule type="cellIs" dxfId="6805" priority="10234" operator="between">
      <formula>"ITAÚ MATRIZ"</formula>
      <formula>"ITAÚ MATRIZ"</formula>
    </cfRule>
    <cfRule type="cellIs" dxfId="6804" priority="10235" operator="equal">
      <formula>"ITAÚ"</formula>
    </cfRule>
    <cfRule type="cellIs" dxfId="6803" priority="10236" operator="equal">
      <formula>"ITAÚ"</formula>
    </cfRule>
    <cfRule type="cellIs" dxfId="6802" priority="10237" operator="between">
      <formula>"SAFRA"</formula>
      <formula>"SAFRA"</formula>
    </cfRule>
    <cfRule type="cellIs" dxfId="6801" priority="10238" operator="between">
      <formula>"SAFRA"</formula>
      <formula>"SAFRA"</formula>
    </cfRule>
    <cfRule type="cellIs" dxfId="6800" priority="10239" operator="between">
      <formula>"DAYCOVAL"</formula>
      <formula>"DAYCOVAL"</formula>
    </cfRule>
    <cfRule type="cellIs" dxfId="6799" priority="10240" operator="between">
      <formula>"ITAÚ FILIAL"</formula>
      <formula>"ITAÚ FILIAL"</formula>
    </cfRule>
    <cfRule type="cellIs" dxfId="6798" priority="10241" operator="between">
      <formula>"ITAÚ FILIAL"</formula>
      <formula>"ITAÚ FILIAL"</formula>
    </cfRule>
    <cfRule type="cellIs" dxfId="6797" priority="10242" operator="equal">
      <formula>"ITAÚ"</formula>
    </cfRule>
    <cfRule type="cellIs" dxfId="6796" priority="10243" operator="equal">
      <formula>"ITAÚ MATRIZ"</formula>
    </cfRule>
    <cfRule type="cellIs" dxfId="6795" priority="10244" operator="between">
      <formula>"ITAÚ MATRIZ"</formula>
      <formula>"ITAÚ MATRIZ"</formula>
    </cfRule>
    <cfRule type="cellIs" dxfId="6794" priority="10245" operator="equal">
      <formula>"ITAÚ"</formula>
    </cfRule>
    <cfRule type="cellIs" dxfId="6793" priority="10246" operator="equal">
      <formula>"ITAÚ MATRIZ"</formula>
    </cfRule>
    <cfRule type="cellIs" dxfId="6792" priority="10247" operator="between">
      <formula>"SAFRA"</formula>
      <formula>"SAFRA"</formula>
    </cfRule>
    <cfRule type="cellIs" dxfId="6791" priority="10248" operator="between">
      <formula>"SAFRA"</formula>
      <formula>"SAFRA"</formula>
    </cfRule>
    <cfRule type="cellIs" dxfId="6790" priority="10249" operator="between">
      <formula>"DAYCOVAL"</formula>
      <formula>"DAYCOVAL"</formula>
    </cfRule>
    <cfRule type="cellIs" dxfId="6789" priority="10250" operator="between">
      <formula>"ITAÚ FILIAL"</formula>
      <formula>"ITAÚ FILIAL"</formula>
    </cfRule>
    <cfRule type="cellIs" dxfId="6788" priority="10251" operator="between">
      <formula>"ITAÚ FILIAL"</formula>
      <formula>"ITAÚ FILIAL"</formula>
    </cfRule>
    <cfRule type="cellIs" dxfId="6787" priority="10252" operator="between">
      <formula>"ITAÚ MATRIZ"</formula>
      <formula>"ITAÚ MATRIZ"</formula>
    </cfRule>
    <cfRule type="cellIs" dxfId="6786" priority="10253" operator="equal">
      <formula>"ITAÚ"</formula>
    </cfRule>
    <cfRule type="cellIs" dxfId="6785" priority="10254" operator="equal">
      <formula>"ITAÚ"</formula>
    </cfRule>
    <cfRule type="cellIs" dxfId="6784" priority="10255" operator="between">
      <formula>"SAFRA"</formula>
      <formula>"SAFRA"</formula>
    </cfRule>
    <cfRule type="cellIs" dxfId="6783" priority="10256" operator="between">
      <formula>"SAFRA"</formula>
      <formula>"SAFRA"</formula>
    </cfRule>
    <cfRule type="cellIs" dxfId="6782" priority="10257" operator="between">
      <formula>"DAYCOVAL"</formula>
      <formula>"DAYCOVAL"</formula>
    </cfRule>
    <cfRule type="cellIs" dxfId="6781" priority="10258" operator="between">
      <formula>"ITAÚ FILIAL"</formula>
      <formula>"ITAÚ FILIAL"</formula>
    </cfRule>
    <cfRule type="cellIs" dxfId="6780" priority="10259" operator="between">
      <formula>"ITAÚ FILIAL"</formula>
      <formula>"ITAÚ FILIAL"</formula>
    </cfRule>
    <cfRule type="cellIs" dxfId="6779" priority="10260" operator="equal">
      <formula>"ITAÚ"</formula>
    </cfRule>
    <cfRule type="cellIs" dxfId="6778" priority="10261" operator="equal">
      <formula>"ITAÚ MATRIZ"</formula>
    </cfRule>
    <cfRule type="cellIs" dxfId="6777" priority="10262" operator="between">
      <formula>"ITAÚ MATRIZ"</formula>
      <formula>"ITAÚ MATRIZ"</formula>
    </cfRule>
    <cfRule type="cellIs" dxfId="6776" priority="10263" operator="equal">
      <formula>"ITAÚ"</formula>
    </cfRule>
    <cfRule type="cellIs" dxfId="6775" priority="10264" operator="equal">
      <formula>"ITAÚ MATRIZ"</formula>
    </cfRule>
    <cfRule type="cellIs" dxfId="6774" priority="10265" operator="between">
      <formula>"SAFRA"</formula>
      <formula>"SAFRA"</formula>
    </cfRule>
    <cfRule type="cellIs" dxfId="6773" priority="10266" operator="between">
      <formula>"SAFRA"</formula>
      <formula>"SAFRA"</formula>
    </cfRule>
    <cfRule type="cellIs" dxfId="6772" priority="10267" operator="between">
      <formula>"DAYCOVAL"</formula>
      <formula>"DAYCOVAL"</formula>
    </cfRule>
    <cfRule type="cellIs" dxfId="6771" priority="10268" operator="between">
      <formula>"ITAÚ FILIAL"</formula>
      <formula>"ITAÚ FILIAL"</formula>
    </cfRule>
    <cfRule type="cellIs" dxfId="6770" priority="10269" operator="between">
      <formula>"ITAÚ FILIAL"</formula>
      <formula>"ITAÚ FILIAL"</formula>
    </cfRule>
    <cfRule type="cellIs" dxfId="6769" priority="10270" operator="between">
      <formula>"ITAÚ MATRIZ"</formula>
      <formula>"ITAÚ MATRIZ"</formula>
    </cfRule>
    <cfRule type="cellIs" dxfId="6768" priority="10271" operator="equal">
      <formula>"ITAÚ"</formula>
    </cfRule>
    <cfRule type="cellIs" dxfId="6767" priority="10272" operator="equal">
      <formula>"ITAÚ"</formula>
    </cfRule>
    <cfRule type="cellIs" dxfId="6766" priority="10273" operator="between">
      <formula>"SAFRA"</formula>
      <formula>"SAFRA"</formula>
    </cfRule>
    <cfRule type="cellIs" dxfId="6765" priority="10274" operator="between">
      <formula>"SAFRA"</formula>
      <formula>"SAFRA"</formula>
    </cfRule>
    <cfRule type="cellIs" dxfId="6764" priority="10275" operator="between">
      <formula>"DAYCOVAL"</formula>
      <formula>"DAYCOVAL"</formula>
    </cfRule>
    <cfRule type="cellIs" dxfId="6763" priority="10276" operator="between">
      <formula>"ITAÚ FILIAL"</formula>
      <formula>"ITAÚ FILIAL"</formula>
    </cfRule>
    <cfRule type="cellIs" dxfId="6762" priority="10277" operator="between">
      <formula>"ITAÚ FILIAL"</formula>
      <formula>"ITAÚ FILIAL"</formula>
    </cfRule>
    <cfRule type="cellIs" dxfId="6761" priority="10278" operator="equal">
      <formula>"ITAÚ"</formula>
    </cfRule>
    <cfRule type="cellIs" dxfId="6760" priority="10279" operator="equal">
      <formula>"ITAÚ MATRIZ"</formula>
    </cfRule>
    <cfRule type="cellIs" dxfId="6759" priority="10280" operator="between">
      <formula>"ITAÚ MATRIZ"</formula>
      <formula>"ITAÚ MATRIZ"</formula>
    </cfRule>
    <cfRule type="cellIs" dxfId="6758" priority="10281" operator="equal">
      <formula>"ITAÚ"</formula>
    </cfRule>
    <cfRule type="cellIs" dxfId="6757" priority="10189" operator="equal">
      <formula>"ITAÚ MATRIZ"</formula>
    </cfRule>
  </conditionalFormatting>
  <conditionalFormatting sqref="I43:I73">
    <cfRule type="cellIs" dxfId="6756" priority="10064" operator="equal">
      <formula>"ITAÚ"</formula>
    </cfRule>
    <cfRule type="cellIs" dxfId="6755" priority="10067" operator="equal">
      <formula>"ITAÚ"</formula>
    </cfRule>
    <cfRule type="cellIs" dxfId="6754" priority="10065" operator="equal">
      <formula>"ITAÚ MATRIZ"</formula>
    </cfRule>
    <cfRule type="cellIs" dxfId="6753" priority="10061" operator="between">
      <formula>"DAYCOVAL"</formula>
      <formula>"DAYCOVAL"</formula>
    </cfRule>
    <cfRule type="cellIs" dxfId="6752" priority="10060" operator="between">
      <formula>"SAFRA"</formula>
      <formula>"SAFRA"</formula>
    </cfRule>
    <cfRule type="cellIs" dxfId="6751" priority="10059" operator="between">
      <formula>"SAFRA"</formula>
      <formula>"SAFRA"</formula>
    </cfRule>
  </conditionalFormatting>
  <conditionalFormatting sqref="I45:I73">
    <cfRule type="cellIs" dxfId="6750" priority="9871" operator="between">
      <formula>"SAFRA"</formula>
      <formula>"SAFRA"</formula>
    </cfRule>
    <cfRule type="cellIs" dxfId="6749" priority="9872" operator="between">
      <formula>"SAFRA"</formula>
      <formula>"SAFRA"</formula>
    </cfRule>
    <cfRule type="cellIs" dxfId="6748" priority="9843" operator="between">
      <formula>"ITAÚ FILIAL"</formula>
      <formula>"ITAÚ FILIAL"</formula>
    </cfRule>
    <cfRule type="cellIs" dxfId="6747" priority="9845" operator="equal">
      <formula>"ITAÚ"</formula>
    </cfRule>
    <cfRule type="cellIs" dxfId="6746" priority="9842" operator="between">
      <formula>"DAYCOVAL"</formula>
      <formula>"DAYCOVAL"</formula>
    </cfRule>
    <cfRule type="cellIs" dxfId="6745" priority="9841" operator="between">
      <formula>"SAFRA"</formula>
      <formula>"SAFRA"</formula>
    </cfRule>
    <cfRule type="cellIs" dxfId="6744" priority="9840" operator="between">
      <formula>"SAFRA"</formula>
      <formula>"SAFRA"</formula>
    </cfRule>
    <cfRule type="cellIs" dxfId="6743" priority="9839" operator="equal">
      <formula>"ITAÚ"</formula>
    </cfRule>
    <cfRule type="cellIs" dxfId="6742" priority="9838" operator="between">
      <formula>"ITAÚ MATRIZ"</formula>
      <formula>"ITAÚ MATRIZ"</formula>
    </cfRule>
    <cfRule type="cellIs" dxfId="6741" priority="9837" operator="equal">
      <formula>"ITAÚ MATRIZ"</formula>
    </cfRule>
    <cfRule type="cellIs" dxfId="6740" priority="9836" operator="equal">
      <formula>"ITAÚ"</formula>
    </cfRule>
    <cfRule type="cellIs" dxfId="6739" priority="9835" operator="between">
      <formula>"ITAÚ FILIAL"</formula>
      <formula>"ITAÚ FILIAL"</formula>
    </cfRule>
    <cfRule type="cellIs" dxfId="6738" priority="9834" operator="between">
      <formula>"ITAÚ FILIAL"</formula>
      <formula>"ITAÚ FILIAL"</formula>
    </cfRule>
    <cfRule type="cellIs" dxfId="6737" priority="9833" operator="between">
      <formula>"DAYCOVAL"</formula>
      <formula>"DAYCOVAL"</formula>
    </cfRule>
    <cfRule type="cellIs" dxfId="6736" priority="9832" operator="between">
      <formula>"SAFRA"</formula>
      <formula>"SAFRA"</formula>
    </cfRule>
    <cfRule type="cellIs" dxfId="6735" priority="9831" operator="between">
      <formula>"SAFRA"</formula>
      <formula>"SAFRA"</formula>
    </cfRule>
    <cfRule type="cellIs" dxfId="6734" priority="9830" operator="equal">
      <formula>"ITAÚ"</formula>
    </cfRule>
    <cfRule type="cellIs" dxfId="6733" priority="9829" operator="equal">
      <formula>"ITAÚ"</formula>
    </cfRule>
    <cfRule type="cellIs" dxfId="6732" priority="9828" operator="between">
      <formula>"ITAÚ MATRIZ"</formula>
      <formula>"ITAÚ MATRIZ"</formula>
    </cfRule>
    <cfRule type="cellIs" dxfId="6731" priority="9827" operator="between">
      <formula>"ITAÚ FILIAL"</formula>
      <formula>"ITAÚ FILIAL"</formula>
    </cfRule>
    <cfRule type="cellIs" dxfId="6730" priority="9826" operator="between">
      <formula>"ITAÚ FILIAL"</formula>
      <formula>"ITAÚ FILIAL"</formula>
    </cfRule>
    <cfRule type="cellIs" dxfId="6729" priority="9825" operator="between">
      <formula>"DAYCOVAL"</formula>
      <formula>"DAYCOVAL"</formula>
    </cfRule>
    <cfRule type="cellIs" dxfId="6728" priority="9824" operator="between">
      <formula>"SAFRA"</formula>
      <formula>"SAFRA"</formula>
    </cfRule>
    <cfRule type="cellIs" dxfId="6727" priority="9823" operator="between">
      <formula>"SAFRA"</formula>
      <formula>"SAFRA"</formula>
    </cfRule>
    <cfRule type="cellIs" dxfId="6726" priority="9822" operator="equal">
      <formula>"ITAÚ MATRIZ"</formula>
    </cfRule>
    <cfRule type="cellIs" dxfId="6725" priority="9821" operator="equal">
      <formula>"ITAÚ"</formula>
    </cfRule>
    <cfRule type="cellIs" dxfId="6724" priority="9820" operator="between">
      <formula>"ITAÚ MATRIZ"</formula>
      <formula>"ITAÚ MATRIZ"</formula>
    </cfRule>
    <cfRule type="cellIs" dxfId="6723" priority="9819" operator="equal">
      <formula>"ITAÚ MATRIZ"</formula>
    </cfRule>
    <cfRule type="cellIs" dxfId="6722" priority="9818" operator="equal">
      <formula>"ITAÚ"</formula>
    </cfRule>
    <cfRule type="cellIs" dxfId="6721" priority="9817" operator="between">
      <formula>"ITAÚ FILIAL"</formula>
      <formula>"ITAÚ FILIAL"</formula>
    </cfRule>
    <cfRule type="cellIs" dxfId="6720" priority="9816" operator="between">
      <formula>"ITAÚ FILIAL"</formula>
      <formula>"ITAÚ FILIAL"</formula>
    </cfRule>
    <cfRule type="cellIs" dxfId="6719" priority="9815" operator="between">
      <formula>"DAYCOVAL"</formula>
      <formula>"DAYCOVAL"</formula>
    </cfRule>
    <cfRule type="cellIs" dxfId="6718" priority="9814" operator="between">
      <formula>"SAFRA"</formula>
      <formula>"SAFRA"</formula>
    </cfRule>
    <cfRule type="cellIs" dxfId="6717" priority="9813" operator="between">
      <formula>"SAFRA"</formula>
      <formula>"SAFRA"</formula>
    </cfRule>
    <cfRule type="cellIs" dxfId="6716" priority="9812" operator="equal">
      <formula>"ITAÚ"</formula>
    </cfRule>
    <cfRule type="cellIs" dxfId="6715" priority="9811" operator="equal">
      <formula>"ITAÚ"</formula>
    </cfRule>
    <cfRule type="cellIs" dxfId="6714" priority="9810" operator="between">
      <formula>"ITAÚ MATRIZ"</formula>
      <formula>"ITAÚ MATRIZ"</formula>
    </cfRule>
    <cfRule type="cellIs" dxfId="6713" priority="9809" operator="between">
      <formula>"ITAÚ FILIAL"</formula>
      <formula>"ITAÚ FILIAL"</formula>
    </cfRule>
    <cfRule type="cellIs" dxfId="6712" priority="9808" operator="between">
      <formula>"ITAÚ FILIAL"</formula>
      <formula>"ITAÚ FILIAL"</formula>
    </cfRule>
    <cfRule type="cellIs" dxfId="6711" priority="9807" operator="between">
      <formula>"DAYCOVAL"</formula>
      <formula>"DAYCOVAL"</formula>
    </cfRule>
    <cfRule type="cellIs" dxfId="6710" priority="9806" operator="between">
      <formula>"SAFRA"</formula>
      <formula>"SAFRA"</formula>
    </cfRule>
    <cfRule type="cellIs" dxfId="6709" priority="9805" operator="between">
      <formula>"SAFRA"</formula>
      <formula>"SAFRA"</formula>
    </cfRule>
    <cfRule type="cellIs" dxfId="6708" priority="9804" operator="equal">
      <formula>"ITAÚ MATRIZ"</formula>
    </cfRule>
    <cfRule type="cellIs" dxfId="6707" priority="9803" operator="equal">
      <formula>"ITAÚ"</formula>
    </cfRule>
    <cfRule type="cellIs" dxfId="6706" priority="9802" operator="between">
      <formula>"ITAÚ MATRIZ"</formula>
      <formula>"ITAÚ MATRIZ"</formula>
    </cfRule>
    <cfRule type="cellIs" dxfId="6705" priority="9801" operator="equal">
      <formula>"ITAÚ MATRIZ"</formula>
    </cfRule>
    <cfRule type="cellIs" dxfId="6704" priority="9800" operator="equal">
      <formula>"ITAÚ"</formula>
    </cfRule>
    <cfRule type="cellIs" dxfId="6703" priority="9799" operator="between">
      <formula>"ITAÚ FILIAL"</formula>
      <formula>"ITAÚ FILIAL"</formula>
    </cfRule>
    <cfRule type="cellIs" dxfId="6702" priority="9798" operator="between">
      <formula>"ITAÚ FILIAL"</formula>
      <formula>"ITAÚ FILIAL"</formula>
    </cfRule>
    <cfRule type="cellIs" dxfId="6701" priority="9797" operator="between">
      <formula>"DAYCOVAL"</formula>
      <formula>"DAYCOVAL"</formula>
    </cfRule>
    <cfRule type="cellIs" dxfId="6700" priority="9796" operator="between">
      <formula>"SAFRA"</formula>
      <formula>"SAFRA"</formula>
    </cfRule>
    <cfRule type="cellIs" dxfId="6699" priority="9795" operator="between">
      <formula>"SAFRA"</formula>
      <formula>"SAFRA"</formula>
    </cfRule>
    <cfRule type="cellIs" dxfId="6698" priority="9794" operator="equal">
      <formula>"ITAÚ"</formula>
    </cfRule>
    <cfRule type="cellIs" dxfId="6697" priority="9793" operator="equal">
      <formula>"ITAÚ"</formula>
    </cfRule>
    <cfRule type="cellIs" dxfId="6696" priority="9792" operator="between">
      <formula>"ITAÚ MATRIZ"</formula>
      <formula>"ITAÚ MATRIZ"</formula>
    </cfRule>
    <cfRule type="cellIs" dxfId="6695" priority="9791" operator="between">
      <formula>"ITAÚ FILIAL"</formula>
      <formula>"ITAÚ FILIAL"</formula>
    </cfRule>
    <cfRule type="cellIs" dxfId="6694" priority="9790" operator="between">
      <formula>"ITAÚ FILIAL"</formula>
      <formula>"ITAÚ FILIAL"</formula>
    </cfRule>
    <cfRule type="cellIs" dxfId="6693" priority="9789" operator="between">
      <formula>"DAYCOVAL"</formula>
      <formula>"DAYCOVAL"</formula>
    </cfRule>
    <cfRule type="cellIs" dxfId="6692" priority="9788" operator="between">
      <formula>"SAFRA"</formula>
      <formula>"SAFRA"</formula>
    </cfRule>
    <cfRule type="cellIs" dxfId="6691" priority="9787" operator="between">
      <formula>"SAFRA"</formula>
      <formula>"SAFRA"</formula>
    </cfRule>
    <cfRule type="cellIs" dxfId="6690" priority="9786" operator="equal">
      <formula>"ITAÚ MATRIZ"</formula>
    </cfRule>
    <cfRule type="cellIs" dxfId="6689" priority="9785" operator="equal">
      <formula>"ITAÚ"</formula>
    </cfRule>
    <cfRule type="cellIs" dxfId="6688" priority="9784" operator="equal">
      <formula>"ITAÚ"</formula>
    </cfRule>
    <cfRule type="cellIs" dxfId="6687" priority="9783" operator="between">
      <formula>"ITAÚ MATRIZ"</formula>
      <formula>"ITAÚ MATRIZ"</formula>
    </cfRule>
    <cfRule type="cellIs" dxfId="6686" priority="9782" operator="between">
      <formula>"ITAÚ FILIAL"</formula>
      <formula>"ITAÚ FILIAL"</formula>
    </cfRule>
    <cfRule type="cellIs" dxfId="6685" priority="9781" operator="between">
      <formula>"ITAÚ FILIAL"</formula>
      <formula>"ITAÚ FILIAL"</formula>
    </cfRule>
    <cfRule type="cellIs" dxfId="6684" priority="9780" operator="between">
      <formula>"DAYCOVAL"</formula>
      <formula>"DAYCOVAL"</formula>
    </cfRule>
    <cfRule type="cellIs" dxfId="6683" priority="9779" operator="between">
      <formula>"SAFRA"</formula>
      <formula>"SAFRA"</formula>
    </cfRule>
    <cfRule type="cellIs" dxfId="6682" priority="9778" operator="between">
      <formula>"SAFRA"</formula>
      <formula>"SAFRA"</formula>
    </cfRule>
    <cfRule type="cellIs" dxfId="6681" priority="9777" operator="equal">
      <formula>"ITAÚ MATRIZ"</formula>
    </cfRule>
    <cfRule type="cellIs" dxfId="6680" priority="9776" operator="equal">
      <formula>"ITAÚ"</formula>
    </cfRule>
    <cfRule type="cellIs" dxfId="6679" priority="9775" operator="equal">
      <formula>"ITAÚ"</formula>
    </cfRule>
    <cfRule type="cellIs" dxfId="6678" priority="9774" operator="between">
      <formula>"ITAÚ MATRIZ"</formula>
      <formula>"ITAÚ MATRIZ"</formula>
    </cfRule>
    <cfRule type="cellIs" dxfId="6677" priority="9773" operator="between">
      <formula>"ITAÚ FILIAL"</formula>
      <formula>"ITAÚ FILIAL"</formula>
    </cfRule>
    <cfRule type="cellIs" dxfId="6676" priority="9772" operator="between">
      <formula>"ITAÚ FILIAL"</formula>
      <formula>"ITAÚ FILIAL"</formula>
    </cfRule>
    <cfRule type="cellIs" dxfId="6675" priority="9771" operator="between">
      <formula>"DAYCOVAL"</formula>
      <formula>"DAYCOVAL"</formula>
    </cfRule>
    <cfRule type="cellIs" dxfId="6674" priority="9770" operator="between">
      <formula>"SAFRA"</formula>
      <formula>"SAFRA"</formula>
    </cfRule>
    <cfRule type="cellIs" dxfId="6673" priority="9769" operator="between">
      <formula>"SAFRA"</formula>
      <formula>"SAFRA"</formula>
    </cfRule>
    <cfRule type="cellIs" dxfId="6672" priority="9768" operator="equal">
      <formula>"ITAÚ MATRIZ"</formula>
    </cfRule>
    <cfRule type="cellIs" dxfId="6671" priority="9767" operator="equal">
      <formula>"ITAÚ"</formula>
    </cfRule>
    <cfRule type="cellIs" dxfId="6670" priority="9766" operator="equal">
      <formula>"ITAÚ"</formula>
    </cfRule>
    <cfRule type="cellIs" dxfId="6669" priority="9765" operator="between">
      <formula>"ITAÚ MATRIZ"</formula>
      <formula>"ITAÚ MATRIZ"</formula>
    </cfRule>
    <cfRule type="cellIs" dxfId="6668" priority="9764" operator="between">
      <formula>"ITAÚ FILIAL"</formula>
      <formula>"ITAÚ FILIAL"</formula>
    </cfRule>
    <cfRule type="cellIs" dxfId="6667" priority="9763" operator="between">
      <formula>"ITAÚ FILIAL"</formula>
      <formula>"ITAÚ FILIAL"</formula>
    </cfRule>
    <cfRule type="cellIs" dxfId="6666" priority="9762" operator="between">
      <formula>"DAYCOVAL"</formula>
      <formula>"DAYCOVAL"</formula>
    </cfRule>
    <cfRule type="cellIs" dxfId="6665" priority="9761" operator="between">
      <formula>"SAFRA"</formula>
      <formula>"SAFRA"</formula>
    </cfRule>
    <cfRule type="cellIs" dxfId="6664" priority="9760" operator="between">
      <formula>"SAFRA"</formula>
      <formula>"SAFRA"</formula>
    </cfRule>
    <cfRule type="cellIs" dxfId="6663" priority="9759" operator="equal">
      <formula>"ITAÚ MATRIZ"</formula>
    </cfRule>
    <cfRule type="cellIs" dxfId="6662" priority="9758" operator="equal">
      <formula>"ITAÚ"</formula>
    </cfRule>
    <cfRule type="cellIs" dxfId="6661" priority="9757" operator="equal">
      <formula>"ITAÚ"</formula>
    </cfRule>
    <cfRule type="cellIs" dxfId="6660" priority="9756" operator="between">
      <formula>"ITAÚ MATRIZ"</formula>
      <formula>"ITAÚ MATRIZ"</formula>
    </cfRule>
    <cfRule type="cellIs" dxfId="6659" priority="9755" operator="between">
      <formula>"ITAÚ FILIAL"</formula>
      <formula>"ITAÚ FILIAL"</formula>
    </cfRule>
    <cfRule type="cellIs" dxfId="6658" priority="9754" operator="between">
      <formula>"ITAÚ FILIAL"</formula>
      <formula>"ITAÚ FILIAL"</formula>
    </cfRule>
    <cfRule type="cellIs" dxfId="6657" priority="9753" operator="between">
      <formula>"DAYCOVAL"</formula>
      <formula>"DAYCOVAL"</formula>
    </cfRule>
    <cfRule type="cellIs" dxfId="6656" priority="10062" operator="between">
      <formula>"ITAÚ FILIAL"</formula>
      <formula>"ITAÚ FILIAL"</formula>
    </cfRule>
    <cfRule type="cellIs" dxfId="6655" priority="9752" operator="between">
      <formula>"SAFRA"</formula>
      <formula>"SAFRA"</formula>
    </cfRule>
    <cfRule type="cellIs" dxfId="6654" priority="9751" operator="between">
      <formula>"SAFRA"</formula>
      <formula>"SAFRA"</formula>
    </cfRule>
    <cfRule type="cellIs" dxfId="6653" priority="9750" operator="equal">
      <formula>"ITAÚ MATRIZ"</formula>
    </cfRule>
    <cfRule type="cellIs" dxfId="6652" priority="9749" operator="equal">
      <formula>"ITAÚ"</formula>
    </cfRule>
    <cfRule type="cellIs" dxfId="6651" priority="9748" operator="between">
      <formula>"ITAÚ MATRIZ"</formula>
      <formula>"ITAÚ MATRIZ"</formula>
    </cfRule>
    <cfRule type="cellIs" dxfId="6650" priority="9846" operator="equal">
      <formula>"ITAÚ MATRIZ"</formula>
    </cfRule>
    <cfRule type="cellIs" dxfId="6649" priority="9747" operator="equal">
      <formula>"ITAÚ MATRIZ"</formula>
    </cfRule>
    <cfRule type="cellIs" dxfId="6648" priority="9847" operator="between">
      <formula>"ITAÚ MATRIZ"</formula>
      <formula>"ITAÚ MATRIZ"</formula>
    </cfRule>
    <cfRule type="cellIs" dxfId="6647" priority="9746" operator="equal">
      <formula>"ITAÚ"</formula>
    </cfRule>
    <cfRule type="cellIs" dxfId="6646" priority="9745" operator="between">
      <formula>"ITAÚ FILIAL"</formula>
      <formula>"ITAÚ FILIAL"</formula>
    </cfRule>
    <cfRule type="cellIs" dxfId="6645" priority="9744" operator="between">
      <formula>"ITAÚ FILIAL"</formula>
      <formula>"ITAÚ FILIAL"</formula>
    </cfRule>
    <cfRule type="cellIs" dxfId="6644" priority="9743" operator="between">
      <formula>"DAYCOVAL"</formula>
      <formula>"DAYCOVAL"</formula>
    </cfRule>
    <cfRule type="cellIs" dxfId="6643" priority="9742" operator="between">
      <formula>"SAFRA"</formula>
      <formula>"SAFRA"</formula>
    </cfRule>
    <cfRule type="cellIs" dxfId="6642" priority="9741" operator="between">
      <formula>"SAFRA"</formula>
      <formula>"SAFRA"</formula>
    </cfRule>
    <cfRule type="cellIs" dxfId="6641" priority="9740" operator="equal">
      <formula>"ITAÚ"</formula>
    </cfRule>
    <cfRule type="cellIs" dxfId="6640" priority="9739" operator="equal">
      <formula>"ITAÚ"</formula>
    </cfRule>
    <cfRule type="cellIs" dxfId="6639" priority="9738" operator="between">
      <formula>"ITAÚ MATRIZ"</formula>
      <formula>"ITAÚ MATRIZ"</formula>
    </cfRule>
    <cfRule type="cellIs" dxfId="6638" priority="9737" operator="between">
      <formula>"ITAÚ FILIAL"</formula>
      <formula>"ITAÚ FILIAL"</formula>
    </cfRule>
    <cfRule type="cellIs" dxfId="6637" priority="9736" operator="between">
      <formula>"ITAÚ FILIAL"</formula>
      <formula>"ITAÚ FILIAL"</formula>
    </cfRule>
    <cfRule type="cellIs" dxfId="6636" priority="9735" operator="between">
      <formula>"DAYCOVAL"</formula>
      <formula>"DAYCOVAL"</formula>
    </cfRule>
    <cfRule type="cellIs" dxfId="6635" priority="9734" operator="between">
      <formula>"SAFRA"</formula>
      <formula>"SAFRA"</formula>
    </cfRule>
    <cfRule type="cellIs" dxfId="6634" priority="9733" operator="between">
      <formula>"SAFRA"</formula>
      <formula>"SAFRA"</formula>
    </cfRule>
    <cfRule type="cellIs" dxfId="6633" priority="9732" operator="equal">
      <formula>"ITAÚ MATRIZ"</formula>
    </cfRule>
    <cfRule type="cellIs" dxfId="6632" priority="9731" operator="equal">
      <formula>"ITAÚ"</formula>
    </cfRule>
    <cfRule type="cellIs" dxfId="6631" priority="9730" operator="between">
      <formula>"ITAÚ MATRIZ"</formula>
      <formula>"ITAÚ MATRIZ"</formula>
    </cfRule>
    <cfRule type="cellIs" dxfId="6630" priority="9729" operator="equal">
      <formula>"ITAÚ MATRIZ"</formula>
    </cfRule>
    <cfRule type="cellIs" dxfId="6629" priority="9728" operator="equal">
      <formula>"ITAÚ"</formula>
    </cfRule>
    <cfRule type="cellIs" dxfId="6628" priority="9727" operator="between">
      <formula>"ITAÚ FILIAL"</formula>
      <formula>"ITAÚ FILIAL"</formula>
    </cfRule>
    <cfRule type="cellIs" dxfId="6627" priority="9726" operator="between">
      <formula>"ITAÚ FILIAL"</formula>
      <formula>"ITAÚ FILIAL"</formula>
    </cfRule>
    <cfRule type="cellIs" dxfId="6626" priority="9725" operator="between">
      <formula>"DAYCOVAL"</formula>
      <formula>"DAYCOVAL"</formula>
    </cfRule>
    <cfRule type="cellIs" dxfId="6625" priority="9724" operator="between">
      <formula>"SAFRA"</formula>
      <formula>"SAFRA"</formula>
    </cfRule>
    <cfRule type="cellIs" dxfId="6624" priority="9723" operator="between">
      <formula>"SAFRA"</formula>
      <formula>"SAFRA"</formula>
    </cfRule>
    <cfRule type="cellIs" dxfId="6623" priority="9722" operator="equal">
      <formula>"ITAÚ"</formula>
    </cfRule>
    <cfRule type="cellIs" dxfId="6622" priority="9721" operator="equal">
      <formula>"ITAÚ"</formula>
    </cfRule>
    <cfRule type="cellIs" dxfId="6621" priority="9720" operator="between">
      <formula>"ITAÚ MATRIZ"</formula>
      <formula>"ITAÚ MATRIZ"</formula>
    </cfRule>
    <cfRule type="cellIs" dxfId="6620" priority="9719" operator="between">
      <formula>"ITAÚ FILIAL"</formula>
      <formula>"ITAÚ FILIAL"</formula>
    </cfRule>
    <cfRule type="cellIs" dxfId="6619" priority="9718" operator="between">
      <formula>"ITAÚ FILIAL"</formula>
      <formula>"ITAÚ FILIAL"</formula>
    </cfRule>
    <cfRule type="cellIs" dxfId="6618" priority="9717" operator="between">
      <formula>"DAYCOVAL"</formula>
      <formula>"DAYCOVAL"</formula>
    </cfRule>
    <cfRule type="cellIs" dxfId="6617" priority="9716" operator="between">
      <formula>"SAFRA"</formula>
      <formula>"SAFRA"</formula>
    </cfRule>
    <cfRule type="cellIs" dxfId="6616" priority="9715" operator="between">
      <formula>"SAFRA"</formula>
      <formula>"SAFRA"</formula>
    </cfRule>
    <cfRule type="cellIs" dxfId="6615" priority="9714" operator="equal">
      <formula>"ITAÚ MATRIZ"</formula>
    </cfRule>
    <cfRule type="cellIs" dxfId="6614" priority="9713" operator="equal">
      <formula>"ITAÚ"</formula>
    </cfRule>
    <cfRule type="cellIs" dxfId="6613" priority="9712" operator="equal">
      <formula>"ITAÚ"</formula>
    </cfRule>
    <cfRule type="cellIs" dxfId="6612" priority="9711" operator="between">
      <formula>"ITAÚ MATRIZ"</formula>
      <formula>"ITAÚ MATRIZ"</formula>
    </cfRule>
    <cfRule type="cellIs" dxfId="6611" priority="9710" operator="between">
      <formula>"ITAÚ FILIAL"</formula>
      <formula>"ITAÚ FILIAL"</formula>
    </cfRule>
    <cfRule type="cellIs" dxfId="6610" priority="9709" operator="between">
      <formula>"ITAÚ FILIAL"</formula>
      <formula>"ITAÚ FILIAL"</formula>
    </cfRule>
    <cfRule type="cellIs" dxfId="6609" priority="9708" operator="between">
      <formula>"DAYCOVAL"</formula>
      <formula>"DAYCOVAL"</formula>
    </cfRule>
    <cfRule type="cellIs" dxfId="6608" priority="9707" operator="between">
      <formula>"SAFRA"</formula>
      <formula>"SAFRA"</formula>
    </cfRule>
    <cfRule type="cellIs" dxfId="6607" priority="9706" operator="between">
      <formula>"SAFRA"</formula>
      <formula>"SAFRA"</formula>
    </cfRule>
    <cfRule type="cellIs" dxfId="6606" priority="9705" operator="equal">
      <formula>"ITAÚ MATRIZ"</formula>
    </cfRule>
    <cfRule type="cellIs" dxfId="6605" priority="9704" operator="equal">
      <formula>"ITAÚ"</formula>
    </cfRule>
    <cfRule type="cellIs" dxfId="6604" priority="9703" operator="equal">
      <formula>"ITAÚ"</formula>
    </cfRule>
    <cfRule type="cellIs" dxfId="6603" priority="9702" operator="between">
      <formula>"ITAÚ MATRIZ"</formula>
      <formula>"ITAÚ MATRIZ"</formula>
    </cfRule>
    <cfRule type="cellIs" dxfId="6602" priority="9701" operator="between">
      <formula>"ITAÚ FILIAL"</formula>
      <formula>"ITAÚ FILIAL"</formula>
    </cfRule>
    <cfRule type="cellIs" dxfId="6601" priority="9700" operator="between">
      <formula>"ITAÚ FILIAL"</formula>
      <formula>"ITAÚ FILIAL"</formula>
    </cfRule>
    <cfRule type="cellIs" dxfId="6600" priority="9699" operator="between">
      <formula>"DAYCOVAL"</formula>
      <formula>"DAYCOVAL"</formula>
    </cfRule>
    <cfRule type="cellIs" dxfId="6599" priority="9698" operator="between">
      <formula>"SAFRA"</formula>
      <formula>"SAFRA"</formula>
    </cfRule>
    <cfRule type="cellIs" dxfId="6598" priority="9697" operator="between">
      <formula>"SAFRA"</formula>
      <formula>"SAFRA"</formula>
    </cfRule>
    <cfRule type="cellIs" dxfId="6597" priority="9696" operator="equal">
      <formula>"ITAÚ MATRIZ"</formula>
    </cfRule>
    <cfRule type="cellIs" dxfId="6596" priority="9695" operator="equal">
      <formula>"ITAÚ"</formula>
    </cfRule>
    <cfRule type="cellIs" dxfId="6595" priority="9694" operator="equal">
      <formula>"ITAÚ"</formula>
    </cfRule>
    <cfRule type="cellIs" dxfId="6594" priority="9693" operator="between">
      <formula>"ITAÚ MATRIZ"</formula>
      <formula>"ITAÚ MATRIZ"</formula>
    </cfRule>
    <cfRule type="cellIs" dxfId="6593" priority="9692" operator="between">
      <formula>"ITAÚ FILIAL"</formula>
      <formula>"ITAÚ FILIAL"</formula>
    </cfRule>
    <cfRule type="cellIs" dxfId="6592" priority="9691" operator="between">
      <formula>"ITAÚ FILIAL"</formula>
      <formula>"ITAÚ FILIAL"</formula>
    </cfRule>
    <cfRule type="cellIs" dxfId="6591" priority="9690" operator="between">
      <formula>"DAYCOVAL"</formula>
      <formula>"DAYCOVAL"</formula>
    </cfRule>
    <cfRule type="cellIs" dxfId="6590" priority="9689" operator="between">
      <formula>"SAFRA"</formula>
      <formula>"SAFRA"</formula>
    </cfRule>
    <cfRule type="cellIs" dxfId="6589" priority="9688" operator="between">
      <formula>"SAFRA"</formula>
      <formula>"SAFRA"</formula>
    </cfRule>
    <cfRule type="cellIs" dxfId="6588" priority="9687" operator="equal">
      <formula>"ITAÚ MATRIZ"</formula>
    </cfRule>
    <cfRule type="cellIs" dxfId="6587" priority="9686" operator="equal">
      <formula>"ITAÚ"</formula>
    </cfRule>
    <cfRule type="cellIs" dxfId="6586" priority="9685" operator="equal">
      <formula>"ITAÚ"</formula>
    </cfRule>
    <cfRule type="cellIs" dxfId="6585" priority="9684" operator="between">
      <formula>"ITAÚ MATRIZ"</formula>
      <formula>"ITAÚ MATRIZ"</formula>
    </cfRule>
    <cfRule type="cellIs" dxfId="6584" priority="9683" operator="between">
      <formula>"ITAÚ FILIAL"</formula>
      <formula>"ITAÚ FILIAL"</formula>
    </cfRule>
    <cfRule type="cellIs" dxfId="6583" priority="9682" operator="between">
      <formula>"ITAÚ FILIAL"</formula>
      <formula>"ITAÚ FILIAL"</formula>
    </cfRule>
    <cfRule type="cellIs" dxfId="6582" priority="9681" operator="between">
      <formula>"DAYCOVAL"</formula>
      <formula>"DAYCOVAL"</formula>
    </cfRule>
    <cfRule type="cellIs" dxfId="6581" priority="9680" operator="between">
      <formula>"SAFRA"</formula>
      <formula>"SAFRA"</formula>
    </cfRule>
    <cfRule type="cellIs" dxfId="6580" priority="9679" operator="between">
      <formula>"SAFRA"</formula>
      <formula>"SAFRA"</formula>
    </cfRule>
    <cfRule type="cellIs" dxfId="6579" priority="9678" operator="equal">
      <formula>"ITAÚ MATRIZ"</formula>
    </cfRule>
    <cfRule type="cellIs" dxfId="6578" priority="9677" operator="equal">
      <formula>"ITAÚ"</formula>
    </cfRule>
    <cfRule type="cellIs" dxfId="6577" priority="9676" operator="between">
      <formula>"ITAÚ MATRIZ"</formula>
      <formula>"ITAÚ MATRIZ"</formula>
    </cfRule>
    <cfRule type="cellIs" dxfId="6576" priority="9675" operator="equal">
      <formula>"ITAÚ MATRIZ"</formula>
    </cfRule>
    <cfRule type="cellIs" dxfId="6575" priority="9674" operator="equal">
      <formula>"ITAÚ"</formula>
    </cfRule>
    <cfRule type="cellIs" dxfId="6574" priority="9673" operator="between">
      <formula>"ITAÚ FILIAL"</formula>
      <formula>"ITAÚ FILIAL"</formula>
    </cfRule>
    <cfRule type="cellIs" dxfId="6573" priority="9672" operator="between">
      <formula>"ITAÚ FILIAL"</formula>
      <formula>"ITAÚ FILIAL"</formula>
    </cfRule>
    <cfRule type="cellIs" dxfId="6572" priority="9671" operator="between">
      <formula>"DAYCOVAL"</formula>
      <formula>"DAYCOVAL"</formula>
    </cfRule>
    <cfRule type="cellIs" dxfId="6571" priority="9670" operator="between">
      <formula>"SAFRA"</formula>
      <formula>"SAFRA"</formula>
    </cfRule>
    <cfRule type="cellIs" dxfId="6570" priority="9669" operator="between">
      <formula>"SAFRA"</formula>
      <formula>"SAFRA"</formula>
    </cfRule>
    <cfRule type="cellIs" dxfId="6569" priority="9668" operator="equal">
      <formula>"ITAÚ"</formula>
    </cfRule>
    <cfRule type="cellIs" dxfId="6568" priority="9667" operator="equal">
      <formula>"ITAÚ"</formula>
    </cfRule>
    <cfRule type="cellIs" dxfId="6567" priority="9666" operator="between">
      <formula>"ITAÚ MATRIZ"</formula>
      <formula>"ITAÚ MATRIZ"</formula>
    </cfRule>
    <cfRule type="cellIs" dxfId="6566" priority="9665" operator="between">
      <formula>"ITAÚ FILIAL"</formula>
      <formula>"ITAÚ FILIAL"</formula>
    </cfRule>
    <cfRule type="cellIs" dxfId="6565" priority="9664" operator="between">
      <formula>"ITAÚ FILIAL"</formula>
      <formula>"ITAÚ FILIAL"</formula>
    </cfRule>
    <cfRule type="cellIs" dxfId="6564" priority="9663" operator="between">
      <formula>"DAYCOVAL"</formula>
      <formula>"DAYCOVAL"</formula>
    </cfRule>
    <cfRule type="cellIs" dxfId="6563" priority="9662" operator="between">
      <formula>"SAFRA"</formula>
      <formula>"SAFRA"</formula>
    </cfRule>
    <cfRule type="cellIs" dxfId="6562" priority="9661" operator="between">
      <formula>"SAFRA"</formula>
      <formula>"SAFRA"</formula>
    </cfRule>
    <cfRule type="cellIs" dxfId="6561" priority="10066" operator="between">
      <formula>"ITAÚ MATRIZ"</formula>
      <formula>"ITAÚ MATRIZ"</formula>
    </cfRule>
    <cfRule type="cellIs" dxfId="6560" priority="9660" operator="equal">
      <formula>"ITAÚ MATRIZ"</formula>
    </cfRule>
    <cfRule type="cellIs" dxfId="6559" priority="9848" operator="equal">
      <formula>"ITAÚ"</formula>
    </cfRule>
    <cfRule type="cellIs" dxfId="6558" priority="9844" operator="between">
      <formula>"ITAÚ FILIAL"</formula>
      <formula>"ITAÚ FILIAL"</formula>
    </cfRule>
    <cfRule type="cellIs" dxfId="6557" priority="9870" operator="equal">
      <formula>"ITAÚ MATRIZ"</formula>
    </cfRule>
    <cfRule type="cellIs" dxfId="6556" priority="9657" operator="between">
      <formula>"ITAÚ MATRIZ"</formula>
      <formula>"ITAÚ MATRIZ"</formula>
    </cfRule>
    <cfRule type="cellIs" dxfId="6555" priority="9656" operator="between">
      <formula>"ITAÚ FILIAL"</formula>
      <formula>"ITAÚ FILIAL"</formula>
    </cfRule>
    <cfRule type="cellIs" dxfId="6554" priority="9655" operator="between">
      <formula>"ITAÚ FILIAL"</formula>
      <formula>"ITAÚ FILIAL"</formula>
    </cfRule>
    <cfRule type="cellIs" dxfId="6553" priority="10058" operator="equal">
      <formula>"ITAÚ"</formula>
    </cfRule>
    <cfRule type="cellIs" dxfId="6552" priority="10057" operator="between">
      <formula>"ITAÚ MATRIZ"</formula>
      <formula>"ITAÚ MATRIZ"</formula>
    </cfRule>
    <cfRule type="cellIs" dxfId="6551" priority="10056" operator="equal">
      <formula>"ITAÚ MATRIZ"</formula>
    </cfRule>
    <cfRule type="cellIs" dxfId="6550" priority="10055" operator="equal">
      <formula>"ITAÚ"</formula>
    </cfRule>
    <cfRule type="cellIs" dxfId="6549" priority="10054" operator="between">
      <formula>"ITAÚ FILIAL"</formula>
      <formula>"ITAÚ FILIAL"</formula>
    </cfRule>
    <cfRule type="cellIs" dxfId="6548" priority="10053" operator="between">
      <formula>"ITAÚ FILIAL"</formula>
      <formula>"ITAÚ FILIAL"</formula>
    </cfRule>
    <cfRule type="cellIs" dxfId="6547" priority="10052" operator="between">
      <formula>"DAYCOVAL"</formula>
      <formula>"DAYCOVAL"</formula>
    </cfRule>
    <cfRule type="cellIs" dxfId="6546" priority="10051" operator="between">
      <formula>"SAFRA"</formula>
      <formula>"SAFRA"</formula>
    </cfRule>
    <cfRule type="cellIs" dxfId="6545" priority="10050" operator="between">
      <formula>"SAFRA"</formula>
      <formula>"SAFRA"</formula>
    </cfRule>
    <cfRule type="cellIs" dxfId="6544" priority="10049" operator="equal">
      <formula>"ITAÚ"</formula>
    </cfRule>
    <cfRule type="cellIs" dxfId="6543" priority="10048" operator="equal">
      <formula>"ITAÚ"</formula>
    </cfRule>
    <cfRule type="cellIs" dxfId="6542" priority="10047" operator="between">
      <formula>"ITAÚ MATRIZ"</formula>
      <formula>"ITAÚ MATRIZ"</formula>
    </cfRule>
    <cfRule type="cellIs" dxfId="6541" priority="10046" operator="between">
      <formula>"ITAÚ FILIAL"</formula>
      <formula>"ITAÚ FILIAL"</formula>
    </cfRule>
    <cfRule type="cellIs" dxfId="6540" priority="10045" operator="between">
      <formula>"ITAÚ FILIAL"</formula>
      <formula>"ITAÚ FILIAL"</formula>
    </cfRule>
    <cfRule type="cellIs" dxfId="6539" priority="10044" operator="between">
      <formula>"DAYCOVAL"</formula>
      <formula>"DAYCOVAL"</formula>
    </cfRule>
    <cfRule type="cellIs" dxfId="6538" priority="10043" operator="between">
      <formula>"SAFRA"</formula>
      <formula>"SAFRA"</formula>
    </cfRule>
    <cfRule type="cellIs" dxfId="6537" priority="10042" operator="between">
      <formula>"SAFRA"</formula>
      <formula>"SAFRA"</formula>
    </cfRule>
    <cfRule type="cellIs" dxfId="6536" priority="10041" operator="equal">
      <formula>"ITAÚ MATRIZ"</formula>
    </cfRule>
    <cfRule type="cellIs" dxfId="6535" priority="10040" operator="equal">
      <formula>"ITAÚ"</formula>
    </cfRule>
    <cfRule type="cellIs" dxfId="6534" priority="10039" operator="between">
      <formula>"ITAÚ MATRIZ"</formula>
      <formula>"ITAÚ MATRIZ"</formula>
    </cfRule>
    <cfRule type="cellIs" dxfId="6533" priority="10038" operator="equal">
      <formula>"ITAÚ MATRIZ"</formula>
    </cfRule>
    <cfRule type="cellIs" dxfId="6532" priority="10037" operator="equal">
      <formula>"ITAÚ"</formula>
    </cfRule>
    <cfRule type="cellIs" dxfId="6531" priority="10036" operator="between">
      <formula>"ITAÚ FILIAL"</formula>
      <formula>"ITAÚ FILIAL"</formula>
    </cfRule>
    <cfRule type="cellIs" dxfId="6530" priority="10035" operator="between">
      <formula>"ITAÚ FILIAL"</formula>
      <formula>"ITAÚ FILIAL"</formula>
    </cfRule>
    <cfRule type="cellIs" dxfId="6529" priority="10034" operator="between">
      <formula>"DAYCOVAL"</formula>
      <formula>"DAYCOVAL"</formula>
    </cfRule>
    <cfRule type="cellIs" dxfId="6528" priority="10033" operator="between">
      <formula>"SAFRA"</formula>
      <formula>"SAFRA"</formula>
    </cfRule>
    <cfRule type="cellIs" dxfId="6527" priority="10032" operator="between">
      <formula>"SAFRA"</formula>
      <formula>"SAFRA"</formula>
    </cfRule>
    <cfRule type="cellIs" dxfId="6526" priority="10031" operator="equal">
      <formula>"ITAÚ"</formula>
    </cfRule>
    <cfRule type="cellIs" dxfId="6525" priority="10030" operator="equal">
      <formula>"ITAÚ"</formula>
    </cfRule>
    <cfRule type="cellIs" dxfId="6524" priority="10029" operator="between">
      <formula>"ITAÚ MATRIZ"</formula>
      <formula>"ITAÚ MATRIZ"</formula>
    </cfRule>
    <cfRule type="cellIs" dxfId="6523" priority="10028" operator="between">
      <formula>"ITAÚ FILIAL"</formula>
      <formula>"ITAÚ FILIAL"</formula>
    </cfRule>
    <cfRule type="cellIs" dxfId="6522" priority="10027" operator="between">
      <formula>"ITAÚ FILIAL"</formula>
      <formula>"ITAÚ FILIAL"</formula>
    </cfRule>
    <cfRule type="cellIs" dxfId="6521" priority="10026" operator="between">
      <formula>"DAYCOVAL"</formula>
      <formula>"DAYCOVAL"</formula>
    </cfRule>
    <cfRule type="cellIs" dxfId="6520" priority="10025" operator="between">
      <formula>"SAFRA"</formula>
      <formula>"SAFRA"</formula>
    </cfRule>
    <cfRule type="cellIs" dxfId="6519" priority="10024" operator="between">
      <formula>"SAFRA"</formula>
      <formula>"SAFRA"</formula>
    </cfRule>
    <cfRule type="cellIs" dxfId="6518" priority="10023" operator="equal">
      <formula>"ITAÚ MATRIZ"</formula>
    </cfRule>
    <cfRule type="cellIs" dxfId="6517" priority="10022" operator="equal">
      <formula>"ITAÚ"</formula>
    </cfRule>
    <cfRule type="cellIs" dxfId="6516" priority="10021" operator="between">
      <formula>"ITAÚ MATRIZ"</formula>
      <formula>"ITAÚ MATRIZ"</formula>
    </cfRule>
    <cfRule type="cellIs" dxfId="6515" priority="10020" operator="equal">
      <formula>"ITAÚ MATRIZ"</formula>
    </cfRule>
    <cfRule type="cellIs" dxfId="6514" priority="10019" operator="equal">
      <formula>"ITAÚ"</formula>
    </cfRule>
    <cfRule type="cellIs" dxfId="6513" priority="10018" operator="between">
      <formula>"ITAÚ FILIAL"</formula>
      <formula>"ITAÚ FILIAL"</formula>
    </cfRule>
    <cfRule type="cellIs" dxfId="6512" priority="10017" operator="between">
      <formula>"ITAÚ FILIAL"</formula>
      <formula>"ITAÚ FILIAL"</formula>
    </cfRule>
    <cfRule type="cellIs" dxfId="6511" priority="10016" operator="between">
      <formula>"DAYCOVAL"</formula>
      <formula>"DAYCOVAL"</formula>
    </cfRule>
    <cfRule type="cellIs" dxfId="6510" priority="10015" operator="between">
      <formula>"SAFRA"</formula>
      <formula>"SAFRA"</formula>
    </cfRule>
    <cfRule type="cellIs" dxfId="6509" priority="10014" operator="between">
      <formula>"SAFRA"</formula>
      <formula>"SAFRA"</formula>
    </cfRule>
    <cfRule type="cellIs" dxfId="6508" priority="10013" operator="equal">
      <formula>"ITAÚ"</formula>
    </cfRule>
    <cfRule type="cellIs" dxfId="6507" priority="10012" operator="equal">
      <formula>"ITAÚ"</formula>
    </cfRule>
    <cfRule type="cellIs" dxfId="6506" priority="10011" operator="between">
      <formula>"ITAÚ MATRIZ"</formula>
      <formula>"ITAÚ MATRIZ"</formula>
    </cfRule>
    <cfRule type="cellIs" dxfId="6505" priority="10010" operator="between">
      <formula>"ITAÚ FILIAL"</formula>
      <formula>"ITAÚ FILIAL"</formula>
    </cfRule>
    <cfRule type="cellIs" dxfId="6504" priority="10009" operator="between">
      <formula>"ITAÚ FILIAL"</formula>
      <formula>"ITAÚ FILIAL"</formula>
    </cfRule>
    <cfRule type="cellIs" dxfId="6503" priority="10008" operator="between">
      <formula>"DAYCOVAL"</formula>
      <formula>"DAYCOVAL"</formula>
    </cfRule>
    <cfRule type="cellIs" dxfId="6502" priority="10007" operator="between">
      <formula>"SAFRA"</formula>
      <formula>"SAFRA"</formula>
    </cfRule>
    <cfRule type="cellIs" dxfId="6501" priority="10006" operator="between">
      <formula>"SAFRA"</formula>
      <formula>"SAFRA"</formula>
    </cfRule>
    <cfRule type="cellIs" dxfId="6500" priority="10005" operator="equal">
      <formula>"ITAÚ MATRIZ"</formula>
    </cfRule>
    <cfRule type="cellIs" dxfId="6499" priority="10004" operator="equal">
      <formula>"ITAÚ"</formula>
    </cfRule>
    <cfRule type="cellIs" dxfId="6498" priority="10003" operator="equal">
      <formula>"ITAÚ"</formula>
    </cfRule>
    <cfRule type="cellIs" dxfId="6497" priority="10002" operator="between">
      <formula>"ITAÚ MATRIZ"</formula>
      <formula>"ITAÚ MATRIZ"</formula>
    </cfRule>
    <cfRule type="cellIs" dxfId="6496" priority="10001" operator="between">
      <formula>"ITAÚ FILIAL"</formula>
      <formula>"ITAÚ FILIAL"</formula>
    </cfRule>
    <cfRule type="cellIs" dxfId="6495" priority="10000" operator="between">
      <formula>"ITAÚ FILIAL"</formula>
      <formula>"ITAÚ FILIAL"</formula>
    </cfRule>
    <cfRule type="cellIs" dxfId="6494" priority="9999" operator="between">
      <formula>"DAYCOVAL"</formula>
      <formula>"DAYCOVAL"</formula>
    </cfRule>
    <cfRule type="cellIs" dxfId="6493" priority="9998" operator="between">
      <formula>"SAFRA"</formula>
      <formula>"SAFRA"</formula>
    </cfRule>
    <cfRule type="cellIs" dxfId="6492" priority="9997" operator="between">
      <formula>"SAFRA"</formula>
      <formula>"SAFRA"</formula>
    </cfRule>
    <cfRule type="cellIs" dxfId="6491" priority="9996" operator="equal">
      <formula>"ITAÚ MATRIZ"</formula>
    </cfRule>
    <cfRule type="cellIs" dxfId="6490" priority="9995" operator="equal">
      <formula>"ITAÚ"</formula>
    </cfRule>
    <cfRule type="cellIs" dxfId="6489" priority="9994" operator="equal">
      <formula>"ITAÚ"</formula>
    </cfRule>
    <cfRule type="cellIs" dxfId="6488" priority="9993" operator="between">
      <formula>"ITAÚ MATRIZ"</formula>
      <formula>"ITAÚ MATRIZ"</formula>
    </cfRule>
    <cfRule type="cellIs" dxfId="6487" priority="9992" operator="between">
      <formula>"ITAÚ FILIAL"</formula>
      <formula>"ITAÚ FILIAL"</formula>
    </cfRule>
    <cfRule type="cellIs" dxfId="6486" priority="9991" operator="between">
      <formula>"ITAÚ FILIAL"</formula>
      <formula>"ITAÚ FILIAL"</formula>
    </cfRule>
    <cfRule type="cellIs" dxfId="6485" priority="9990" operator="between">
      <formula>"DAYCOVAL"</formula>
      <formula>"DAYCOVAL"</formula>
    </cfRule>
    <cfRule type="cellIs" dxfId="6484" priority="9989" operator="between">
      <formula>"SAFRA"</formula>
      <formula>"SAFRA"</formula>
    </cfRule>
    <cfRule type="cellIs" dxfId="6483" priority="9988" operator="between">
      <formula>"SAFRA"</formula>
      <formula>"SAFRA"</formula>
    </cfRule>
    <cfRule type="cellIs" dxfId="6482" priority="9987" operator="equal">
      <formula>"ITAÚ MATRIZ"</formula>
    </cfRule>
    <cfRule type="cellIs" dxfId="6481" priority="9986" operator="equal">
      <formula>"ITAÚ"</formula>
    </cfRule>
    <cfRule type="cellIs" dxfId="6480" priority="9985" operator="equal">
      <formula>"ITAÚ"</formula>
    </cfRule>
    <cfRule type="cellIs" dxfId="6479" priority="9984" operator="between">
      <formula>"ITAÚ MATRIZ"</formula>
      <formula>"ITAÚ MATRIZ"</formula>
    </cfRule>
    <cfRule type="cellIs" dxfId="6478" priority="9983" operator="between">
      <formula>"ITAÚ FILIAL"</formula>
      <formula>"ITAÚ FILIAL"</formula>
    </cfRule>
    <cfRule type="cellIs" dxfId="6477" priority="9982" operator="between">
      <formula>"ITAÚ FILIAL"</formula>
      <formula>"ITAÚ FILIAL"</formula>
    </cfRule>
    <cfRule type="cellIs" dxfId="6476" priority="9981" operator="between">
      <formula>"DAYCOVAL"</formula>
      <formula>"DAYCOVAL"</formula>
    </cfRule>
    <cfRule type="cellIs" dxfId="6475" priority="9980" operator="between">
      <formula>"SAFRA"</formula>
      <formula>"SAFRA"</formula>
    </cfRule>
    <cfRule type="cellIs" dxfId="6474" priority="9979" operator="between">
      <formula>"SAFRA"</formula>
      <formula>"SAFRA"</formula>
    </cfRule>
    <cfRule type="cellIs" dxfId="6473" priority="9978" operator="equal">
      <formula>"ITAÚ MATRIZ"</formula>
    </cfRule>
    <cfRule type="cellIs" dxfId="6472" priority="9977" operator="equal">
      <formula>"ITAÚ"</formula>
    </cfRule>
    <cfRule type="cellIs" dxfId="6471" priority="9976" operator="equal">
      <formula>"ITAÚ"</formula>
    </cfRule>
    <cfRule type="cellIs" dxfId="6470" priority="9975" operator="between">
      <formula>"ITAÚ MATRIZ"</formula>
      <formula>"ITAÚ MATRIZ"</formula>
    </cfRule>
    <cfRule type="cellIs" dxfId="6469" priority="9974" operator="between">
      <formula>"ITAÚ FILIAL"</formula>
      <formula>"ITAÚ FILIAL"</formula>
    </cfRule>
    <cfRule type="cellIs" dxfId="6468" priority="9973" operator="between">
      <formula>"ITAÚ FILIAL"</formula>
      <formula>"ITAÚ FILIAL"</formula>
    </cfRule>
    <cfRule type="cellIs" dxfId="6467" priority="9972" operator="between">
      <formula>"DAYCOVAL"</formula>
      <formula>"DAYCOVAL"</formula>
    </cfRule>
    <cfRule type="cellIs" dxfId="6466" priority="9971" operator="between">
      <formula>"SAFRA"</formula>
      <formula>"SAFRA"</formula>
    </cfRule>
    <cfRule type="cellIs" dxfId="6465" priority="9970" operator="between">
      <formula>"SAFRA"</formula>
      <formula>"SAFRA"</formula>
    </cfRule>
    <cfRule type="cellIs" dxfId="6464" priority="9969" operator="equal">
      <formula>"ITAÚ MATRIZ"</formula>
    </cfRule>
    <cfRule type="cellIs" dxfId="6463" priority="9968" operator="equal">
      <formula>"ITAÚ"</formula>
    </cfRule>
    <cfRule type="cellIs" dxfId="6462" priority="9967" operator="between">
      <formula>"ITAÚ MATRIZ"</formula>
      <formula>"ITAÚ MATRIZ"</formula>
    </cfRule>
    <cfRule type="cellIs" dxfId="6461" priority="9966" operator="equal">
      <formula>"ITAÚ MATRIZ"</formula>
    </cfRule>
    <cfRule type="cellIs" dxfId="6460" priority="9965" operator="equal">
      <formula>"ITAÚ"</formula>
    </cfRule>
    <cfRule type="cellIs" dxfId="6459" priority="9964" operator="between">
      <formula>"ITAÚ FILIAL"</formula>
      <formula>"ITAÚ FILIAL"</formula>
    </cfRule>
    <cfRule type="cellIs" dxfId="6458" priority="9963" operator="between">
      <formula>"ITAÚ FILIAL"</formula>
      <formula>"ITAÚ FILIAL"</formula>
    </cfRule>
    <cfRule type="cellIs" dxfId="6457" priority="9962" operator="between">
      <formula>"DAYCOVAL"</formula>
      <formula>"DAYCOVAL"</formula>
    </cfRule>
    <cfRule type="cellIs" dxfId="6456" priority="9961" operator="between">
      <formula>"SAFRA"</formula>
      <formula>"SAFRA"</formula>
    </cfRule>
    <cfRule type="cellIs" dxfId="6455" priority="9960" operator="between">
      <formula>"SAFRA"</formula>
      <formula>"SAFRA"</formula>
    </cfRule>
    <cfRule type="cellIs" dxfId="6454" priority="9959" operator="equal">
      <formula>"ITAÚ"</formula>
    </cfRule>
    <cfRule type="cellIs" dxfId="6453" priority="9958" operator="equal">
      <formula>"ITAÚ"</formula>
    </cfRule>
    <cfRule type="cellIs" dxfId="6452" priority="9957" operator="between">
      <formula>"ITAÚ MATRIZ"</formula>
      <formula>"ITAÚ MATRIZ"</formula>
    </cfRule>
    <cfRule type="cellIs" dxfId="6451" priority="9956" operator="between">
      <formula>"ITAÚ FILIAL"</formula>
      <formula>"ITAÚ FILIAL"</formula>
    </cfRule>
    <cfRule type="cellIs" dxfId="6450" priority="9955" operator="between">
      <formula>"ITAÚ FILIAL"</formula>
      <formula>"ITAÚ FILIAL"</formula>
    </cfRule>
    <cfRule type="cellIs" dxfId="6449" priority="9954" operator="between">
      <formula>"DAYCOVAL"</formula>
      <formula>"DAYCOVAL"</formula>
    </cfRule>
    <cfRule type="cellIs" dxfId="6448" priority="9953" operator="between">
      <formula>"SAFRA"</formula>
      <formula>"SAFRA"</formula>
    </cfRule>
    <cfRule type="cellIs" dxfId="6447" priority="9952" operator="between">
      <formula>"SAFRA"</formula>
      <formula>"SAFRA"</formula>
    </cfRule>
    <cfRule type="cellIs" dxfId="6446" priority="9951" operator="equal">
      <formula>"ITAÚ MATRIZ"</formula>
    </cfRule>
    <cfRule type="cellIs" dxfId="6445" priority="9950" operator="equal">
      <formula>"ITAÚ"</formula>
    </cfRule>
    <cfRule type="cellIs" dxfId="6444" priority="9949" operator="between">
      <formula>"ITAÚ MATRIZ"</formula>
      <formula>"ITAÚ MATRIZ"</formula>
    </cfRule>
    <cfRule type="cellIs" dxfId="6443" priority="9948" operator="equal">
      <formula>"ITAÚ MATRIZ"</formula>
    </cfRule>
    <cfRule type="cellIs" dxfId="6442" priority="9947" operator="equal">
      <formula>"ITAÚ"</formula>
    </cfRule>
    <cfRule type="cellIs" dxfId="6441" priority="9946" operator="between">
      <formula>"ITAÚ FILIAL"</formula>
      <formula>"ITAÚ FILIAL"</formula>
    </cfRule>
    <cfRule type="cellIs" dxfId="6440" priority="9945" operator="between">
      <formula>"ITAÚ FILIAL"</formula>
      <formula>"ITAÚ FILIAL"</formula>
    </cfRule>
    <cfRule type="cellIs" dxfId="6439" priority="9944" operator="between">
      <formula>"DAYCOVAL"</formula>
      <formula>"DAYCOVAL"</formula>
    </cfRule>
    <cfRule type="cellIs" dxfId="6438" priority="9943" operator="between">
      <formula>"SAFRA"</formula>
      <formula>"SAFRA"</formula>
    </cfRule>
    <cfRule type="cellIs" dxfId="6437" priority="9942" operator="between">
      <formula>"SAFRA"</formula>
      <formula>"SAFRA"</formula>
    </cfRule>
    <cfRule type="cellIs" dxfId="6436" priority="9941" operator="equal">
      <formula>"ITAÚ"</formula>
    </cfRule>
    <cfRule type="cellIs" dxfId="6435" priority="9940" operator="equal">
      <formula>"ITAÚ"</formula>
    </cfRule>
    <cfRule type="cellIs" dxfId="6434" priority="9939" operator="between">
      <formula>"ITAÚ MATRIZ"</formula>
      <formula>"ITAÚ MATRIZ"</formula>
    </cfRule>
    <cfRule type="cellIs" dxfId="6433" priority="9938" operator="between">
      <formula>"ITAÚ FILIAL"</formula>
      <formula>"ITAÚ FILIAL"</formula>
    </cfRule>
    <cfRule type="cellIs" dxfId="6432" priority="9937" operator="between">
      <formula>"ITAÚ FILIAL"</formula>
      <formula>"ITAÚ FILIAL"</formula>
    </cfRule>
    <cfRule type="cellIs" dxfId="6431" priority="9936" operator="between">
      <formula>"DAYCOVAL"</formula>
      <formula>"DAYCOVAL"</formula>
    </cfRule>
    <cfRule type="cellIs" dxfId="6430" priority="9935" operator="between">
      <formula>"SAFRA"</formula>
      <formula>"SAFRA"</formula>
    </cfRule>
    <cfRule type="cellIs" dxfId="6429" priority="9934" operator="between">
      <formula>"SAFRA"</formula>
      <formula>"SAFRA"</formula>
    </cfRule>
    <cfRule type="cellIs" dxfId="6428" priority="9933" operator="equal">
      <formula>"ITAÚ MATRIZ"</formula>
    </cfRule>
    <cfRule type="cellIs" dxfId="6427" priority="9932" operator="equal">
      <formula>"ITAÚ"</formula>
    </cfRule>
    <cfRule type="cellIs" dxfId="6426" priority="9931" operator="equal">
      <formula>"ITAÚ"</formula>
    </cfRule>
    <cfRule type="cellIs" dxfId="6425" priority="9930" operator="between">
      <formula>"ITAÚ MATRIZ"</formula>
      <formula>"ITAÚ MATRIZ"</formula>
    </cfRule>
    <cfRule type="cellIs" dxfId="6424" priority="9929" operator="between">
      <formula>"ITAÚ FILIAL"</formula>
      <formula>"ITAÚ FILIAL"</formula>
    </cfRule>
    <cfRule type="cellIs" dxfId="6423" priority="9928" operator="between">
      <formula>"ITAÚ FILIAL"</formula>
      <formula>"ITAÚ FILIAL"</formula>
    </cfRule>
    <cfRule type="cellIs" dxfId="6422" priority="9927" operator="between">
      <formula>"DAYCOVAL"</formula>
      <formula>"DAYCOVAL"</formula>
    </cfRule>
    <cfRule type="cellIs" dxfId="6421" priority="9926" operator="between">
      <formula>"SAFRA"</formula>
      <formula>"SAFRA"</formula>
    </cfRule>
    <cfRule type="cellIs" dxfId="6420" priority="9925" operator="between">
      <formula>"SAFRA"</formula>
      <formula>"SAFRA"</formula>
    </cfRule>
    <cfRule type="cellIs" dxfId="6419" priority="9924" operator="equal">
      <formula>"ITAÚ MATRIZ"</formula>
    </cfRule>
    <cfRule type="cellIs" dxfId="6418" priority="9923" operator="equal">
      <formula>"ITAÚ"</formula>
    </cfRule>
    <cfRule type="cellIs" dxfId="6417" priority="9922" operator="equal">
      <formula>"ITAÚ"</formula>
    </cfRule>
    <cfRule type="cellIs" dxfId="6416" priority="9921" operator="between">
      <formula>"ITAÚ MATRIZ"</formula>
      <formula>"ITAÚ MATRIZ"</formula>
    </cfRule>
    <cfRule type="cellIs" dxfId="6415" priority="9920" operator="between">
      <formula>"ITAÚ FILIAL"</formula>
      <formula>"ITAÚ FILIAL"</formula>
    </cfRule>
    <cfRule type="cellIs" dxfId="6414" priority="9919" operator="between">
      <formula>"ITAÚ FILIAL"</formula>
      <formula>"ITAÚ FILIAL"</formula>
    </cfRule>
    <cfRule type="cellIs" dxfId="6413" priority="9918" operator="between">
      <formula>"DAYCOVAL"</formula>
      <formula>"DAYCOVAL"</formula>
    </cfRule>
    <cfRule type="cellIs" dxfId="6412" priority="9917" operator="between">
      <formula>"SAFRA"</formula>
      <formula>"SAFRA"</formula>
    </cfRule>
    <cfRule type="cellIs" dxfId="6411" priority="9916" operator="between">
      <formula>"SAFRA"</formula>
      <formula>"SAFRA"</formula>
    </cfRule>
    <cfRule type="cellIs" dxfId="6410" priority="9915" operator="equal">
      <formula>"ITAÚ MATRIZ"</formula>
    </cfRule>
    <cfRule type="cellIs" dxfId="6409" priority="9914" operator="equal">
      <formula>"ITAÚ"</formula>
    </cfRule>
    <cfRule type="cellIs" dxfId="6408" priority="9913" operator="equal">
      <formula>"ITAÚ"</formula>
    </cfRule>
    <cfRule type="cellIs" dxfId="6407" priority="9912" operator="between">
      <formula>"ITAÚ MATRIZ"</formula>
      <formula>"ITAÚ MATRIZ"</formula>
    </cfRule>
    <cfRule type="cellIs" dxfId="6406" priority="9911" operator="between">
      <formula>"ITAÚ FILIAL"</formula>
      <formula>"ITAÚ FILIAL"</formula>
    </cfRule>
    <cfRule type="cellIs" dxfId="6405" priority="9910" operator="between">
      <formula>"ITAÚ FILIAL"</formula>
      <formula>"ITAÚ FILIAL"</formula>
    </cfRule>
    <cfRule type="cellIs" dxfId="6404" priority="9909" operator="between">
      <formula>"DAYCOVAL"</formula>
      <formula>"DAYCOVAL"</formula>
    </cfRule>
    <cfRule type="cellIs" dxfId="6403" priority="9908" operator="between">
      <formula>"SAFRA"</formula>
      <formula>"SAFRA"</formula>
    </cfRule>
    <cfRule type="cellIs" dxfId="6402" priority="9907" operator="between">
      <formula>"SAFRA"</formula>
      <formula>"SAFRA"</formula>
    </cfRule>
    <cfRule type="cellIs" dxfId="6401" priority="9906" operator="equal">
      <formula>"ITAÚ MATRIZ"</formula>
    </cfRule>
    <cfRule type="cellIs" dxfId="6400" priority="9905" operator="equal">
      <formula>"ITAÚ"</formula>
    </cfRule>
    <cfRule type="cellIs" dxfId="6399" priority="9904" operator="equal">
      <formula>"ITAÚ"</formula>
    </cfRule>
    <cfRule type="cellIs" dxfId="6398" priority="9903" operator="between">
      <formula>"ITAÚ MATRIZ"</formula>
      <formula>"ITAÚ MATRIZ"</formula>
    </cfRule>
    <cfRule type="cellIs" dxfId="6397" priority="9902" operator="between">
      <formula>"ITAÚ FILIAL"</formula>
      <formula>"ITAÚ FILIAL"</formula>
    </cfRule>
    <cfRule type="cellIs" dxfId="6396" priority="9901" operator="between">
      <formula>"ITAÚ FILIAL"</formula>
      <formula>"ITAÚ FILIAL"</formula>
    </cfRule>
    <cfRule type="cellIs" dxfId="6395" priority="9900" operator="between">
      <formula>"DAYCOVAL"</formula>
      <formula>"DAYCOVAL"</formula>
    </cfRule>
    <cfRule type="cellIs" dxfId="6394" priority="9899" operator="between">
      <formula>"SAFRA"</formula>
      <formula>"SAFRA"</formula>
    </cfRule>
    <cfRule type="cellIs" dxfId="6393" priority="9898" operator="between">
      <formula>"SAFRA"</formula>
      <formula>"SAFRA"</formula>
    </cfRule>
    <cfRule type="cellIs" dxfId="6392" priority="9897" operator="equal">
      <formula>"ITAÚ MATRIZ"</formula>
    </cfRule>
    <cfRule type="cellIs" dxfId="6391" priority="9896" operator="equal">
      <formula>"ITAÚ"</formula>
    </cfRule>
    <cfRule type="cellIs" dxfId="6390" priority="9895" operator="between">
      <formula>"ITAÚ MATRIZ"</formula>
      <formula>"ITAÚ MATRIZ"</formula>
    </cfRule>
    <cfRule type="cellIs" dxfId="6389" priority="9894" operator="equal">
      <formula>"ITAÚ MATRIZ"</formula>
    </cfRule>
    <cfRule type="cellIs" dxfId="6388" priority="9893" operator="equal">
      <formula>"ITAÚ"</formula>
    </cfRule>
    <cfRule type="cellIs" dxfId="6387" priority="9892" operator="between">
      <formula>"ITAÚ FILIAL"</formula>
      <formula>"ITAÚ FILIAL"</formula>
    </cfRule>
    <cfRule type="cellIs" dxfId="6386" priority="9891" operator="between">
      <formula>"ITAÚ FILIAL"</formula>
      <formula>"ITAÚ FILIAL"</formula>
    </cfRule>
    <cfRule type="cellIs" dxfId="6385" priority="9890" operator="between">
      <formula>"DAYCOVAL"</formula>
      <formula>"DAYCOVAL"</formula>
    </cfRule>
    <cfRule type="cellIs" dxfId="6384" priority="9889" operator="between">
      <formula>"SAFRA"</formula>
      <formula>"SAFRA"</formula>
    </cfRule>
    <cfRule type="cellIs" dxfId="6383" priority="9888" operator="between">
      <formula>"SAFRA"</formula>
      <formula>"SAFRA"</formula>
    </cfRule>
    <cfRule type="cellIs" dxfId="6382" priority="9887" operator="equal">
      <formula>"ITAÚ"</formula>
    </cfRule>
    <cfRule type="cellIs" dxfId="6381" priority="9886" operator="equal">
      <formula>"ITAÚ"</formula>
    </cfRule>
    <cfRule type="cellIs" dxfId="6380" priority="9885" operator="between">
      <formula>"ITAÚ MATRIZ"</formula>
      <formula>"ITAÚ MATRIZ"</formula>
    </cfRule>
    <cfRule type="cellIs" dxfId="6379" priority="9884" operator="between">
      <formula>"ITAÚ FILIAL"</formula>
      <formula>"ITAÚ FILIAL"</formula>
    </cfRule>
    <cfRule type="cellIs" dxfId="6378" priority="9883" operator="between">
      <formula>"ITAÚ FILIAL"</formula>
      <formula>"ITAÚ FILIAL"</formula>
    </cfRule>
    <cfRule type="cellIs" dxfId="6377" priority="9882" operator="between">
      <formula>"DAYCOVAL"</formula>
      <formula>"DAYCOVAL"</formula>
    </cfRule>
    <cfRule type="cellIs" dxfId="6376" priority="9881" operator="between">
      <formula>"SAFRA"</formula>
      <formula>"SAFRA"</formula>
    </cfRule>
    <cfRule type="cellIs" dxfId="6375" priority="9880" operator="between">
      <formula>"SAFRA"</formula>
      <formula>"SAFRA"</formula>
    </cfRule>
    <cfRule type="cellIs" dxfId="6374" priority="9879" operator="equal">
      <formula>"ITAÚ MATRIZ"</formula>
    </cfRule>
    <cfRule type="cellIs" dxfId="6373" priority="9878" operator="equal">
      <formula>"ITAÚ"</formula>
    </cfRule>
    <cfRule type="cellIs" dxfId="6372" priority="9877" operator="equal">
      <formula>"ITAÚ"</formula>
    </cfRule>
    <cfRule type="cellIs" dxfId="6371" priority="9876" operator="between">
      <formula>"ITAÚ MATRIZ"</formula>
      <formula>"ITAÚ MATRIZ"</formula>
    </cfRule>
    <cfRule type="cellIs" dxfId="6370" priority="9875" operator="between">
      <formula>"ITAÚ FILIAL"</formula>
      <formula>"ITAÚ FILIAL"</formula>
    </cfRule>
    <cfRule type="cellIs" dxfId="6369" priority="9874" operator="between">
      <formula>"ITAÚ FILIAL"</formula>
      <formula>"ITAÚ FILIAL"</formula>
    </cfRule>
    <cfRule type="cellIs" dxfId="6368" priority="9873" operator="between">
      <formula>"DAYCOVAL"</formula>
      <formula>"DAYCOVAL"</formula>
    </cfRule>
    <cfRule type="cellIs" dxfId="6367" priority="10063" operator="between">
      <formula>"ITAÚ FILIAL"</formula>
      <formula>"ITAÚ FILIAL"</formula>
    </cfRule>
  </conditionalFormatting>
  <conditionalFormatting sqref="I45:I96">
    <cfRule type="cellIs" dxfId="6366" priority="9631" operator="equal">
      <formula>"ITAÚ"</formula>
    </cfRule>
    <cfRule type="cellIs" dxfId="6365" priority="9632" operator="equal">
      <formula>"ITAÚ MATRIZ"</formula>
    </cfRule>
    <cfRule type="cellIs" dxfId="6364" priority="9634" operator="equal">
      <formula>"ITAÚ"</formula>
    </cfRule>
    <cfRule type="cellIs" dxfId="6363" priority="9628" operator="between">
      <formula>"DAYCOVAL"</formula>
      <formula>"DAYCOVAL"</formula>
    </cfRule>
    <cfRule type="cellIs" dxfId="6362" priority="9627" operator="between">
      <formula>"SAFRA"</formula>
      <formula>"SAFRA"</formula>
    </cfRule>
    <cfRule type="cellIs" dxfId="6361" priority="9626" operator="between">
      <formula>"SAFRA"</formula>
      <formula>"SAFRA"</formula>
    </cfRule>
  </conditionalFormatting>
  <conditionalFormatting sqref="I74:I96">
    <cfRule type="cellIs" dxfId="6360" priority="9532" operator="equal">
      <formula>"ITAÚ"</formula>
    </cfRule>
    <cfRule type="cellIs" dxfId="6359" priority="9633" operator="between">
      <formula>"ITAÚ MATRIZ"</formula>
      <formula>"ITAÚ MATRIZ"</formula>
    </cfRule>
    <cfRule type="cellIs" dxfId="6358" priority="9623" operator="equal">
      <formula>"ITAÚ MATRIZ"</formula>
    </cfRule>
    <cfRule type="cellIs" dxfId="6357" priority="9622" operator="equal">
      <formula>"ITAÚ"</formula>
    </cfRule>
    <cfRule type="cellIs" dxfId="6356" priority="9621" operator="between">
      <formula>"ITAÚ FILIAL"</formula>
      <formula>"ITAÚ FILIAL"</formula>
    </cfRule>
    <cfRule type="cellIs" dxfId="6355" priority="9620" operator="between">
      <formula>"ITAÚ FILIAL"</formula>
      <formula>"ITAÚ FILIAL"</formula>
    </cfRule>
    <cfRule type="cellIs" dxfId="6354" priority="9619" operator="between">
      <formula>"DAYCOVAL"</formula>
      <formula>"DAYCOVAL"</formula>
    </cfRule>
    <cfRule type="cellIs" dxfId="6353" priority="9618" operator="between">
      <formula>"SAFRA"</formula>
      <formula>"SAFRA"</formula>
    </cfRule>
    <cfRule type="cellIs" dxfId="6352" priority="9617" operator="between">
      <formula>"SAFRA"</formula>
      <formula>"SAFRA"</formula>
    </cfRule>
    <cfRule type="cellIs" dxfId="6351" priority="9616" operator="equal">
      <formula>"ITAÚ"</formula>
    </cfRule>
    <cfRule type="cellIs" dxfId="6350" priority="9615" operator="equal">
      <formula>"ITAÚ"</formula>
    </cfRule>
    <cfRule type="cellIs" dxfId="6349" priority="9614" operator="between">
      <formula>"ITAÚ MATRIZ"</formula>
      <formula>"ITAÚ MATRIZ"</formula>
    </cfRule>
    <cfRule type="cellIs" dxfId="6348" priority="9613" operator="between">
      <formula>"ITAÚ FILIAL"</formula>
      <formula>"ITAÚ FILIAL"</formula>
    </cfRule>
    <cfRule type="cellIs" dxfId="6347" priority="9612" operator="between">
      <formula>"ITAÚ FILIAL"</formula>
      <formula>"ITAÚ FILIAL"</formula>
    </cfRule>
    <cfRule type="cellIs" dxfId="6346" priority="9611" operator="between">
      <formula>"DAYCOVAL"</formula>
      <formula>"DAYCOVAL"</formula>
    </cfRule>
    <cfRule type="cellIs" dxfId="6345" priority="9610" operator="between">
      <formula>"SAFRA"</formula>
      <formula>"SAFRA"</formula>
    </cfRule>
    <cfRule type="cellIs" dxfId="6344" priority="9609" operator="between">
      <formula>"SAFRA"</formula>
      <formula>"SAFRA"</formula>
    </cfRule>
    <cfRule type="cellIs" dxfId="6343" priority="9608" operator="equal">
      <formula>"ITAÚ MATRIZ"</formula>
    </cfRule>
    <cfRule type="cellIs" dxfId="6342" priority="9607" operator="equal">
      <formula>"ITAÚ"</formula>
    </cfRule>
    <cfRule type="cellIs" dxfId="6341" priority="9606" operator="between">
      <formula>"ITAÚ MATRIZ"</formula>
      <formula>"ITAÚ MATRIZ"</formula>
    </cfRule>
    <cfRule type="cellIs" dxfId="6340" priority="9605" operator="equal">
      <formula>"ITAÚ MATRIZ"</formula>
    </cfRule>
    <cfRule type="cellIs" dxfId="6339" priority="9604" operator="equal">
      <formula>"ITAÚ"</formula>
    </cfRule>
    <cfRule type="cellIs" dxfId="6338" priority="9603" operator="between">
      <formula>"ITAÚ FILIAL"</formula>
      <formula>"ITAÚ FILIAL"</formula>
    </cfRule>
    <cfRule type="cellIs" dxfId="6337" priority="9602" operator="between">
      <formula>"ITAÚ FILIAL"</formula>
      <formula>"ITAÚ FILIAL"</formula>
    </cfRule>
    <cfRule type="cellIs" dxfId="6336" priority="9601" operator="between">
      <formula>"DAYCOVAL"</formula>
      <formula>"DAYCOVAL"</formula>
    </cfRule>
    <cfRule type="cellIs" dxfId="6335" priority="9600" operator="between">
      <formula>"SAFRA"</formula>
      <formula>"SAFRA"</formula>
    </cfRule>
    <cfRule type="cellIs" dxfId="6334" priority="9599" operator="between">
      <formula>"SAFRA"</formula>
      <formula>"SAFRA"</formula>
    </cfRule>
    <cfRule type="cellIs" dxfId="6333" priority="9598" operator="equal">
      <formula>"ITAÚ"</formula>
    </cfRule>
    <cfRule type="cellIs" dxfId="6332" priority="9597" operator="equal">
      <formula>"ITAÚ"</formula>
    </cfRule>
    <cfRule type="cellIs" dxfId="6331" priority="9596" operator="between">
      <formula>"ITAÚ MATRIZ"</formula>
      <formula>"ITAÚ MATRIZ"</formula>
    </cfRule>
    <cfRule type="cellIs" dxfId="6330" priority="9595" operator="between">
      <formula>"ITAÚ FILIAL"</formula>
      <formula>"ITAÚ FILIAL"</formula>
    </cfRule>
    <cfRule type="cellIs" dxfId="6329" priority="9594" operator="between">
      <formula>"ITAÚ FILIAL"</formula>
      <formula>"ITAÚ FILIAL"</formula>
    </cfRule>
    <cfRule type="cellIs" dxfId="6328" priority="9593" operator="between">
      <formula>"DAYCOVAL"</formula>
      <formula>"DAYCOVAL"</formula>
    </cfRule>
    <cfRule type="cellIs" dxfId="6327" priority="9592" operator="between">
      <formula>"SAFRA"</formula>
      <formula>"SAFRA"</formula>
    </cfRule>
    <cfRule type="cellIs" dxfId="6326" priority="9591" operator="between">
      <formula>"SAFRA"</formula>
      <formula>"SAFRA"</formula>
    </cfRule>
    <cfRule type="cellIs" dxfId="6325" priority="9590" operator="equal">
      <formula>"ITAÚ MATRIZ"</formula>
    </cfRule>
    <cfRule type="cellIs" dxfId="6324" priority="9589" operator="equal">
      <formula>"ITAÚ"</formula>
    </cfRule>
    <cfRule type="cellIs" dxfId="6323" priority="9588" operator="between">
      <formula>"ITAÚ MATRIZ"</formula>
      <formula>"ITAÚ MATRIZ"</formula>
    </cfRule>
    <cfRule type="cellIs" dxfId="6322" priority="9587" operator="equal">
      <formula>"ITAÚ MATRIZ"</formula>
    </cfRule>
    <cfRule type="cellIs" dxfId="6321" priority="9586" operator="equal">
      <formula>"ITAÚ"</formula>
    </cfRule>
    <cfRule type="cellIs" dxfId="6320" priority="9585" operator="between">
      <formula>"ITAÚ FILIAL"</formula>
      <formula>"ITAÚ FILIAL"</formula>
    </cfRule>
    <cfRule type="cellIs" dxfId="6319" priority="9584" operator="between">
      <formula>"ITAÚ FILIAL"</formula>
      <formula>"ITAÚ FILIAL"</formula>
    </cfRule>
    <cfRule type="cellIs" dxfId="6318" priority="9583" operator="between">
      <formula>"DAYCOVAL"</formula>
      <formula>"DAYCOVAL"</formula>
    </cfRule>
    <cfRule type="cellIs" dxfId="6317" priority="9582" operator="between">
      <formula>"SAFRA"</formula>
      <formula>"SAFRA"</formula>
    </cfRule>
    <cfRule type="cellIs" dxfId="6316" priority="9581" operator="between">
      <formula>"SAFRA"</formula>
      <formula>"SAFRA"</formula>
    </cfRule>
    <cfRule type="cellIs" dxfId="6315" priority="9580" operator="equal">
      <formula>"ITAÚ"</formula>
    </cfRule>
    <cfRule type="cellIs" dxfId="6314" priority="9579" operator="equal">
      <formula>"ITAÚ"</formula>
    </cfRule>
    <cfRule type="cellIs" dxfId="6313" priority="9578" operator="between">
      <formula>"ITAÚ MATRIZ"</formula>
      <formula>"ITAÚ MATRIZ"</formula>
    </cfRule>
    <cfRule type="cellIs" dxfId="6312" priority="9577" operator="between">
      <formula>"ITAÚ FILIAL"</formula>
      <formula>"ITAÚ FILIAL"</formula>
    </cfRule>
    <cfRule type="cellIs" dxfId="6311" priority="9576" operator="between">
      <formula>"ITAÚ FILIAL"</formula>
      <formula>"ITAÚ FILIAL"</formula>
    </cfRule>
    <cfRule type="cellIs" dxfId="6310" priority="9575" operator="between">
      <formula>"DAYCOVAL"</formula>
      <formula>"DAYCOVAL"</formula>
    </cfRule>
    <cfRule type="cellIs" dxfId="6309" priority="9574" operator="between">
      <formula>"SAFRA"</formula>
      <formula>"SAFRA"</formula>
    </cfRule>
    <cfRule type="cellIs" dxfId="6308" priority="9573" operator="between">
      <formula>"SAFRA"</formula>
      <formula>"SAFRA"</formula>
    </cfRule>
    <cfRule type="cellIs" dxfId="6307" priority="9572" operator="equal">
      <formula>"ITAÚ MATRIZ"</formula>
    </cfRule>
    <cfRule type="cellIs" dxfId="6306" priority="9571" operator="equal">
      <formula>"ITAÚ"</formula>
    </cfRule>
    <cfRule type="cellIs" dxfId="6305" priority="9570" operator="equal">
      <formula>"ITAÚ"</formula>
    </cfRule>
    <cfRule type="cellIs" dxfId="6304" priority="9569" operator="between">
      <formula>"ITAÚ MATRIZ"</formula>
      <formula>"ITAÚ MATRIZ"</formula>
    </cfRule>
    <cfRule type="cellIs" dxfId="6303" priority="9568" operator="between">
      <formula>"ITAÚ FILIAL"</formula>
      <formula>"ITAÚ FILIAL"</formula>
    </cfRule>
    <cfRule type="cellIs" dxfId="6302" priority="9567" operator="between">
      <formula>"ITAÚ FILIAL"</formula>
      <formula>"ITAÚ FILIAL"</formula>
    </cfRule>
    <cfRule type="cellIs" dxfId="6301" priority="9566" operator="between">
      <formula>"DAYCOVAL"</formula>
      <formula>"DAYCOVAL"</formula>
    </cfRule>
    <cfRule type="cellIs" dxfId="6300" priority="9565" operator="between">
      <formula>"SAFRA"</formula>
      <formula>"SAFRA"</formula>
    </cfRule>
    <cfRule type="cellIs" dxfId="6299" priority="9564" operator="between">
      <formula>"SAFRA"</formula>
      <formula>"SAFRA"</formula>
    </cfRule>
    <cfRule type="cellIs" dxfId="6298" priority="9563" operator="equal">
      <formula>"ITAÚ MATRIZ"</formula>
    </cfRule>
    <cfRule type="cellIs" dxfId="6297" priority="9562" operator="equal">
      <formula>"ITAÚ"</formula>
    </cfRule>
    <cfRule type="cellIs" dxfId="6296" priority="9561" operator="equal">
      <formula>"ITAÚ"</formula>
    </cfRule>
    <cfRule type="cellIs" dxfId="6295" priority="9560" operator="between">
      <formula>"ITAÚ MATRIZ"</formula>
      <formula>"ITAÚ MATRIZ"</formula>
    </cfRule>
    <cfRule type="cellIs" dxfId="6294" priority="9559" operator="between">
      <formula>"ITAÚ FILIAL"</formula>
      <formula>"ITAÚ FILIAL"</formula>
    </cfRule>
    <cfRule type="cellIs" dxfId="6293" priority="9558" operator="between">
      <formula>"ITAÚ FILIAL"</formula>
      <formula>"ITAÚ FILIAL"</formula>
    </cfRule>
    <cfRule type="cellIs" dxfId="6292" priority="9557" operator="between">
      <formula>"DAYCOVAL"</formula>
      <formula>"DAYCOVAL"</formula>
    </cfRule>
    <cfRule type="cellIs" dxfId="6291" priority="9556" operator="between">
      <formula>"SAFRA"</formula>
      <formula>"SAFRA"</formula>
    </cfRule>
    <cfRule type="cellIs" dxfId="6290" priority="9555" operator="between">
      <formula>"SAFRA"</formula>
      <formula>"SAFRA"</formula>
    </cfRule>
    <cfRule type="cellIs" dxfId="6289" priority="9554" operator="equal">
      <formula>"ITAÚ MATRIZ"</formula>
    </cfRule>
    <cfRule type="cellIs" dxfId="6288" priority="9553" operator="equal">
      <formula>"ITAÚ"</formula>
    </cfRule>
    <cfRule type="cellIs" dxfId="6287" priority="9552" operator="equal">
      <formula>"ITAÚ"</formula>
    </cfRule>
    <cfRule type="cellIs" dxfId="6286" priority="9551" operator="between">
      <formula>"ITAÚ MATRIZ"</formula>
      <formula>"ITAÚ MATRIZ"</formula>
    </cfRule>
    <cfRule type="cellIs" dxfId="6285" priority="9550" operator="between">
      <formula>"ITAÚ FILIAL"</formula>
      <formula>"ITAÚ FILIAL"</formula>
    </cfRule>
    <cfRule type="cellIs" dxfId="6284" priority="9549" operator="between">
      <formula>"ITAÚ FILIAL"</formula>
      <formula>"ITAÚ FILIAL"</formula>
    </cfRule>
    <cfRule type="cellIs" dxfId="6283" priority="9548" operator="between">
      <formula>"DAYCOVAL"</formula>
      <formula>"DAYCOVAL"</formula>
    </cfRule>
    <cfRule type="cellIs" dxfId="6282" priority="9547" operator="between">
      <formula>"SAFRA"</formula>
      <formula>"SAFRA"</formula>
    </cfRule>
    <cfRule type="cellIs" dxfId="6281" priority="9546" operator="between">
      <formula>"SAFRA"</formula>
      <formula>"SAFRA"</formula>
    </cfRule>
    <cfRule type="cellIs" dxfId="6280" priority="9545" operator="equal">
      <formula>"ITAÚ MATRIZ"</formula>
    </cfRule>
    <cfRule type="cellIs" dxfId="6279" priority="9544" operator="equal">
      <formula>"ITAÚ"</formula>
    </cfRule>
    <cfRule type="cellIs" dxfId="6278" priority="9543" operator="equal">
      <formula>"ITAÚ"</formula>
    </cfRule>
    <cfRule type="cellIs" dxfId="6277" priority="9542" operator="between">
      <formula>"ITAÚ MATRIZ"</formula>
      <formula>"ITAÚ MATRIZ"</formula>
    </cfRule>
    <cfRule type="cellIs" dxfId="6276" priority="9541" operator="between">
      <formula>"ITAÚ FILIAL"</formula>
      <formula>"ITAÚ FILIAL"</formula>
    </cfRule>
    <cfRule type="cellIs" dxfId="6275" priority="9540" operator="between">
      <formula>"ITAÚ FILIAL"</formula>
      <formula>"ITAÚ FILIAL"</formula>
    </cfRule>
    <cfRule type="cellIs" dxfId="6274" priority="9539" operator="between">
      <formula>"DAYCOVAL"</formula>
      <formula>"DAYCOVAL"</formula>
    </cfRule>
    <cfRule type="cellIs" dxfId="6273" priority="9538" operator="between">
      <formula>"SAFRA"</formula>
      <formula>"SAFRA"</formula>
    </cfRule>
    <cfRule type="cellIs" dxfId="6272" priority="9537" operator="between">
      <formula>"SAFRA"</formula>
      <formula>"SAFRA"</formula>
    </cfRule>
    <cfRule type="cellIs" dxfId="6271" priority="9536" operator="equal">
      <formula>"ITAÚ MATRIZ"</formula>
    </cfRule>
    <cfRule type="cellIs" dxfId="6270" priority="9535" operator="equal">
      <formula>"ITAÚ"</formula>
    </cfRule>
    <cfRule type="cellIs" dxfId="6269" priority="9534" operator="between">
      <formula>"ITAÚ MATRIZ"</formula>
      <formula>"ITAÚ MATRIZ"</formula>
    </cfRule>
    <cfRule type="cellIs" dxfId="6268" priority="9533" operator="equal">
      <formula>"ITAÚ MATRIZ"</formula>
    </cfRule>
    <cfRule type="cellIs" dxfId="6267" priority="9625" operator="equal">
      <formula>"ITAÚ"</formula>
    </cfRule>
    <cfRule type="cellIs" dxfId="6266" priority="9531" operator="between">
      <formula>"ITAÚ FILIAL"</formula>
      <formula>"ITAÚ FILIAL"</formula>
    </cfRule>
    <cfRule type="cellIs" dxfId="6265" priority="9530" operator="between">
      <formula>"ITAÚ FILIAL"</formula>
      <formula>"ITAÚ FILIAL"</formula>
    </cfRule>
    <cfRule type="cellIs" dxfId="6264" priority="9624" operator="between">
      <formula>"ITAÚ MATRIZ"</formula>
      <formula>"ITAÚ MATRIZ"</formula>
    </cfRule>
    <cfRule type="cellIs" dxfId="6263" priority="9528" operator="between">
      <formula>"SAFRA"</formula>
      <formula>"SAFRA"</formula>
    </cfRule>
    <cfRule type="cellIs" dxfId="6262" priority="9527" operator="between">
      <formula>"SAFRA"</formula>
      <formula>"SAFRA"</formula>
    </cfRule>
    <cfRule type="cellIs" dxfId="6261" priority="9526" operator="equal">
      <formula>"ITAÚ"</formula>
    </cfRule>
    <cfRule type="cellIs" dxfId="6260" priority="9525" operator="equal">
      <formula>"ITAÚ"</formula>
    </cfRule>
    <cfRule type="cellIs" dxfId="6259" priority="9524" operator="between">
      <formula>"ITAÚ MATRIZ"</formula>
      <formula>"ITAÚ MATRIZ"</formula>
    </cfRule>
    <cfRule type="cellIs" dxfId="6258" priority="9523" operator="between">
      <formula>"ITAÚ FILIAL"</formula>
      <formula>"ITAÚ FILIAL"</formula>
    </cfRule>
    <cfRule type="cellIs" dxfId="6257" priority="9522" operator="between">
      <formula>"ITAÚ FILIAL"</formula>
      <formula>"ITAÚ FILIAL"</formula>
    </cfRule>
    <cfRule type="cellIs" dxfId="6256" priority="9521" operator="between">
      <formula>"DAYCOVAL"</formula>
      <formula>"DAYCOVAL"</formula>
    </cfRule>
    <cfRule type="cellIs" dxfId="6255" priority="9520" operator="between">
      <formula>"SAFRA"</formula>
      <formula>"SAFRA"</formula>
    </cfRule>
    <cfRule type="cellIs" dxfId="6254" priority="9519" operator="between">
      <formula>"SAFRA"</formula>
      <formula>"SAFRA"</formula>
    </cfRule>
    <cfRule type="cellIs" dxfId="6253" priority="9518" operator="equal">
      <formula>"ITAÚ MATRIZ"</formula>
    </cfRule>
    <cfRule type="cellIs" dxfId="6252" priority="9517" operator="equal">
      <formula>"ITAÚ"</formula>
    </cfRule>
    <cfRule type="cellIs" dxfId="6251" priority="9516" operator="between">
      <formula>"ITAÚ MATRIZ"</formula>
      <formula>"ITAÚ MATRIZ"</formula>
    </cfRule>
    <cfRule type="cellIs" dxfId="6250" priority="9515" operator="equal">
      <formula>"ITAÚ MATRIZ"</formula>
    </cfRule>
    <cfRule type="cellIs" dxfId="6249" priority="9514" operator="equal">
      <formula>"ITAÚ"</formula>
    </cfRule>
    <cfRule type="cellIs" dxfId="6248" priority="9513" operator="between">
      <formula>"ITAÚ FILIAL"</formula>
      <formula>"ITAÚ FILIAL"</formula>
    </cfRule>
    <cfRule type="cellIs" dxfId="6247" priority="9512" operator="between">
      <formula>"ITAÚ FILIAL"</formula>
      <formula>"ITAÚ FILIAL"</formula>
    </cfRule>
    <cfRule type="cellIs" dxfId="6246" priority="9511" operator="between">
      <formula>"DAYCOVAL"</formula>
      <formula>"DAYCOVAL"</formula>
    </cfRule>
    <cfRule type="cellIs" dxfId="6245" priority="9510" operator="between">
      <formula>"SAFRA"</formula>
      <formula>"SAFRA"</formula>
    </cfRule>
    <cfRule type="cellIs" dxfId="6244" priority="9509" operator="between">
      <formula>"SAFRA"</formula>
      <formula>"SAFRA"</formula>
    </cfRule>
    <cfRule type="cellIs" dxfId="6243" priority="9508" operator="equal">
      <formula>"ITAÚ"</formula>
    </cfRule>
    <cfRule type="cellIs" dxfId="6242" priority="9507" operator="equal">
      <formula>"ITAÚ"</formula>
    </cfRule>
    <cfRule type="cellIs" dxfId="6241" priority="9506" operator="between">
      <formula>"ITAÚ MATRIZ"</formula>
      <formula>"ITAÚ MATRIZ"</formula>
    </cfRule>
    <cfRule type="cellIs" dxfId="6240" priority="9505" operator="between">
      <formula>"ITAÚ FILIAL"</formula>
      <formula>"ITAÚ FILIAL"</formula>
    </cfRule>
    <cfRule type="cellIs" dxfId="6239" priority="9504" operator="between">
      <formula>"ITAÚ FILIAL"</formula>
      <formula>"ITAÚ FILIAL"</formula>
    </cfRule>
    <cfRule type="cellIs" dxfId="6238" priority="9503" operator="between">
      <formula>"DAYCOVAL"</formula>
      <formula>"DAYCOVAL"</formula>
    </cfRule>
    <cfRule type="cellIs" dxfId="6237" priority="9502" operator="between">
      <formula>"SAFRA"</formula>
      <formula>"SAFRA"</formula>
    </cfRule>
    <cfRule type="cellIs" dxfId="6236" priority="9501" operator="between">
      <formula>"SAFRA"</formula>
      <formula>"SAFRA"</formula>
    </cfRule>
    <cfRule type="cellIs" dxfId="6235" priority="9500" operator="equal">
      <formula>"ITAÚ MATRIZ"</formula>
    </cfRule>
    <cfRule type="cellIs" dxfId="6234" priority="9499" operator="equal">
      <formula>"ITAÚ"</formula>
    </cfRule>
    <cfRule type="cellIs" dxfId="6233" priority="9498" operator="equal">
      <formula>"ITAÚ"</formula>
    </cfRule>
    <cfRule type="cellIs" dxfId="6232" priority="9497" operator="between">
      <formula>"ITAÚ MATRIZ"</formula>
      <formula>"ITAÚ MATRIZ"</formula>
    </cfRule>
    <cfRule type="cellIs" dxfId="6231" priority="9496" operator="between">
      <formula>"ITAÚ FILIAL"</formula>
      <formula>"ITAÚ FILIAL"</formula>
    </cfRule>
    <cfRule type="cellIs" dxfId="6230" priority="9495" operator="between">
      <formula>"ITAÚ FILIAL"</formula>
      <formula>"ITAÚ FILIAL"</formula>
    </cfRule>
    <cfRule type="cellIs" dxfId="6229" priority="9494" operator="between">
      <formula>"DAYCOVAL"</formula>
      <formula>"DAYCOVAL"</formula>
    </cfRule>
    <cfRule type="cellIs" dxfId="6228" priority="9493" operator="between">
      <formula>"SAFRA"</formula>
      <formula>"SAFRA"</formula>
    </cfRule>
    <cfRule type="cellIs" dxfId="6227" priority="9492" operator="between">
      <formula>"SAFRA"</formula>
      <formula>"SAFRA"</formula>
    </cfRule>
    <cfRule type="cellIs" dxfId="6226" priority="9491" operator="equal">
      <formula>"ITAÚ MATRIZ"</formula>
    </cfRule>
    <cfRule type="cellIs" dxfId="6225" priority="9490" operator="equal">
      <formula>"ITAÚ"</formula>
    </cfRule>
    <cfRule type="cellIs" dxfId="6224" priority="9489" operator="equal">
      <formula>"ITAÚ"</formula>
    </cfRule>
    <cfRule type="cellIs" dxfId="6223" priority="9488" operator="between">
      <formula>"ITAÚ MATRIZ"</formula>
      <formula>"ITAÚ MATRIZ"</formula>
    </cfRule>
    <cfRule type="cellIs" dxfId="6222" priority="9487" operator="between">
      <formula>"ITAÚ FILIAL"</formula>
      <formula>"ITAÚ FILIAL"</formula>
    </cfRule>
    <cfRule type="cellIs" dxfId="6221" priority="9486" operator="between">
      <formula>"ITAÚ FILIAL"</formula>
      <formula>"ITAÚ FILIAL"</formula>
    </cfRule>
    <cfRule type="cellIs" dxfId="6220" priority="9485" operator="between">
      <formula>"DAYCOVAL"</formula>
      <formula>"DAYCOVAL"</formula>
    </cfRule>
    <cfRule type="cellIs" dxfId="6219" priority="9484" operator="between">
      <formula>"SAFRA"</formula>
      <formula>"SAFRA"</formula>
    </cfRule>
    <cfRule type="cellIs" dxfId="6218" priority="9483" operator="between">
      <formula>"SAFRA"</formula>
      <formula>"SAFRA"</formula>
    </cfRule>
    <cfRule type="cellIs" dxfId="6217" priority="9482" operator="equal">
      <formula>"ITAÚ MATRIZ"</formula>
    </cfRule>
    <cfRule type="cellIs" dxfId="6216" priority="9481" operator="equal">
      <formula>"ITAÚ"</formula>
    </cfRule>
    <cfRule type="cellIs" dxfId="6215" priority="9480" operator="equal">
      <formula>"ITAÚ"</formula>
    </cfRule>
    <cfRule type="cellIs" dxfId="6214" priority="9479" operator="between">
      <formula>"ITAÚ MATRIZ"</formula>
      <formula>"ITAÚ MATRIZ"</formula>
    </cfRule>
    <cfRule type="cellIs" dxfId="6213" priority="9478" operator="between">
      <formula>"ITAÚ FILIAL"</formula>
      <formula>"ITAÚ FILIAL"</formula>
    </cfRule>
    <cfRule type="cellIs" dxfId="6212" priority="9477" operator="between">
      <formula>"ITAÚ FILIAL"</formula>
      <formula>"ITAÚ FILIAL"</formula>
    </cfRule>
    <cfRule type="cellIs" dxfId="6211" priority="9476" operator="between">
      <formula>"DAYCOVAL"</formula>
      <formula>"DAYCOVAL"</formula>
    </cfRule>
    <cfRule type="cellIs" dxfId="6210" priority="9475" operator="between">
      <formula>"SAFRA"</formula>
      <formula>"SAFRA"</formula>
    </cfRule>
    <cfRule type="cellIs" dxfId="6209" priority="9474" operator="between">
      <formula>"SAFRA"</formula>
      <formula>"SAFRA"</formula>
    </cfRule>
    <cfRule type="cellIs" dxfId="6208" priority="9473" operator="equal">
      <formula>"ITAÚ MATRIZ"</formula>
    </cfRule>
    <cfRule type="cellIs" dxfId="6207" priority="9472" operator="equal">
      <formula>"ITAÚ"</formula>
    </cfRule>
    <cfRule type="cellIs" dxfId="6206" priority="9471" operator="equal">
      <formula>"ITAÚ"</formula>
    </cfRule>
    <cfRule type="cellIs" dxfId="6205" priority="9470" operator="between">
      <formula>"ITAÚ MATRIZ"</formula>
      <formula>"ITAÚ MATRIZ"</formula>
    </cfRule>
    <cfRule type="cellIs" dxfId="6204" priority="9469" operator="between">
      <formula>"ITAÚ FILIAL"</formula>
      <formula>"ITAÚ FILIAL"</formula>
    </cfRule>
    <cfRule type="cellIs" dxfId="6203" priority="9468" operator="between">
      <formula>"ITAÚ FILIAL"</formula>
      <formula>"ITAÚ FILIAL"</formula>
    </cfRule>
    <cfRule type="cellIs" dxfId="6202" priority="9467" operator="between">
      <formula>"DAYCOVAL"</formula>
      <formula>"DAYCOVAL"</formula>
    </cfRule>
    <cfRule type="cellIs" dxfId="6201" priority="9466" operator="between">
      <formula>"SAFRA"</formula>
      <formula>"SAFRA"</formula>
    </cfRule>
    <cfRule type="cellIs" dxfId="6200" priority="9465" operator="between">
      <formula>"SAFRA"</formula>
      <formula>"SAFRA"</formula>
    </cfRule>
    <cfRule type="cellIs" dxfId="6199" priority="9464" operator="equal">
      <formula>"ITAÚ MATRIZ"</formula>
    </cfRule>
    <cfRule type="cellIs" dxfId="6198" priority="9463" operator="equal">
      <formula>"ITAÚ"</formula>
    </cfRule>
    <cfRule type="cellIs" dxfId="6197" priority="9462" operator="between">
      <formula>"ITAÚ MATRIZ"</formula>
      <formula>"ITAÚ MATRIZ"</formula>
    </cfRule>
    <cfRule type="cellIs" dxfId="6196" priority="9461" operator="equal">
      <formula>"ITAÚ MATRIZ"</formula>
    </cfRule>
    <cfRule type="cellIs" dxfId="6195" priority="9460" operator="equal">
      <formula>"ITAÚ"</formula>
    </cfRule>
    <cfRule type="cellIs" dxfId="6194" priority="9459" operator="between">
      <formula>"ITAÚ FILIAL"</formula>
      <formula>"ITAÚ FILIAL"</formula>
    </cfRule>
    <cfRule type="cellIs" dxfId="6193" priority="9458" operator="between">
      <formula>"ITAÚ FILIAL"</formula>
      <formula>"ITAÚ FILIAL"</formula>
    </cfRule>
    <cfRule type="cellIs" dxfId="6192" priority="9457" operator="between">
      <formula>"DAYCOVAL"</formula>
      <formula>"DAYCOVAL"</formula>
    </cfRule>
    <cfRule type="cellIs" dxfId="6191" priority="9456" operator="between">
      <formula>"SAFRA"</formula>
      <formula>"SAFRA"</formula>
    </cfRule>
    <cfRule type="cellIs" dxfId="6190" priority="9455" operator="between">
      <formula>"SAFRA"</formula>
      <formula>"SAFRA"</formula>
    </cfRule>
    <cfRule type="cellIs" dxfId="6189" priority="9454" operator="equal">
      <formula>"ITAÚ"</formula>
    </cfRule>
    <cfRule type="cellIs" dxfId="6188" priority="9453" operator="equal">
      <formula>"ITAÚ"</formula>
    </cfRule>
    <cfRule type="cellIs" dxfId="6187" priority="9452" operator="between">
      <formula>"ITAÚ MATRIZ"</formula>
      <formula>"ITAÚ MATRIZ"</formula>
    </cfRule>
    <cfRule type="cellIs" dxfId="6186" priority="9451" operator="between">
      <formula>"ITAÚ FILIAL"</formula>
      <formula>"ITAÚ FILIAL"</formula>
    </cfRule>
    <cfRule type="cellIs" dxfId="6185" priority="9450" operator="between">
      <formula>"ITAÚ FILIAL"</formula>
      <formula>"ITAÚ FILIAL"</formula>
    </cfRule>
    <cfRule type="cellIs" dxfId="6184" priority="9449" operator="between">
      <formula>"DAYCOVAL"</formula>
      <formula>"DAYCOVAL"</formula>
    </cfRule>
    <cfRule type="cellIs" dxfId="6183" priority="9448" operator="between">
      <formula>"SAFRA"</formula>
      <formula>"SAFRA"</formula>
    </cfRule>
    <cfRule type="cellIs" dxfId="6182" priority="9447" operator="between">
      <formula>"SAFRA"</formula>
      <formula>"SAFRA"</formula>
    </cfRule>
    <cfRule type="cellIs" dxfId="6181" priority="9446" operator="equal">
      <formula>"ITAÚ MATRIZ"</formula>
    </cfRule>
    <cfRule type="cellIs" dxfId="6180" priority="9443" operator="between">
      <formula>"ITAÚ MATRIZ"</formula>
      <formula>"ITAÚ MATRIZ"</formula>
    </cfRule>
    <cfRule type="cellIs" dxfId="6179" priority="9442" operator="between">
      <formula>"ITAÚ FILIAL"</formula>
      <formula>"ITAÚ FILIAL"</formula>
    </cfRule>
    <cfRule type="cellIs" dxfId="6178" priority="9441" operator="between">
      <formula>"ITAÚ FILIAL"</formula>
      <formula>"ITAÚ FILIAL"</formula>
    </cfRule>
    <cfRule type="cellIs" dxfId="6177" priority="9630" operator="between">
      <formula>"ITAÚ FILIAL"</formula>
      <formula>"ITAÚ FILIAL"</formula>
    </cfRule>
    <cfRule type="cellIs" dxfId="6176" priority="9629" operator="between">
      <formula>"ITAÚ FILIAL"</formula>
      <formula>"ITAÚ FILIAL"</formula>
    </cfRule>
    <cfRule type="cellIs" dxfId="6175" priority="9529" operator="between">
      <formula>"DAYCOVAL"</formula>
      <formula>"DAYCOVAL"</formula>
    </cfRule>
  </conditionalFormatting>
  <conditionalFormatting sqref="I74:I105">
    <cfRule type="cellIs" dxfId="6174" priority="9402" operator="between">
      <formula>"SAFRA"</formula>
      <formula>"SAFRA"</formula>
    </cfRule>
    <cfRule type="cellIs" dxfId="6173" priority="9401" operator="between">
      <formula>"SAFRA"</formula>
      <formula>"SAFRA"</formula>
    </cfRule>
    <cfRule type="cellIs" dxfId="6172" priority="9407" operator="equal">
      <formula>"ITAÚ MATRIZ"</formula>
    </cfRule>
    <cfRule type="cellIs" dxfId="6171" priority="9403" operator="between">
      <formula>"DAYCOVAL"</formula>
      <formula>"DAYCOVAL"</formula>
    </cfRule>
    <cfRule type="cellIs" dxfId="6170" priority="9406" operator="equal">
      <formula>"ITAÚ"</formula>
    </cfRule>
    <cfRule type="cellIs" dxfId="6169" priority="9409" operator="equal">
      <formula>"ITAÚ"</formula>
    </cfRule>
  </conditionalFormatting>
  <conditionalFormatting sqref="I97:I105">
    <cfRule type="cellIs" dxfId="6168" priority="9405" operator="between">
      <formula>"ITAÚ FILIAL"</formula>
      <formula>"ITAÚ FILIAL"</formula>
    </cfRule>
    <cfRule type="cellIs" dxfId="6167" priority="9216" operator="between">
      <formula>"ITAÚ FILIAL"</formula>
      <formula>"ITAÚ FILIAL"</formula>
    </cfRule>
    <cfRule type="cellIs" dxfId="6166" priority="9213" operator="between">
      <formula>"SAFRA"</formula>
      <formula>"SAFRA"</formula>
    </cfRule>
    <cfRule type="cellIs" dxfId="6165" priority="9189" operator="equal">
      <formula>"ITAÚ"</formula>
    </cfRule>
    <cfRule type="cellIs" dxfId="6164" priority="9002" operator="between">
      <formula>"SAFRA"</formula>
      <formula>"SAFRA"</formula>
    </cfRule>
    <cfRule type="cellIs" dxfId="6163" priority="9003" operator="between">
      <formula>"SAFRA"</formula>
      <formula>"SAFRA"</formula>
    </cfRule>
    <cfRule type="cellIs" dxfId="6162" priority="9004" operator="between">
      <formula>"DAYCOVAL"</formula>
      <formula>"DAYCOVAL"</formula>
    </cfRule>
    <cfRule type="cellIs" dxfId="6161" priority="9005" operator="between">
      <formula>"ITAÚ FILIAL"</formula>
      <formula>"ITAÚ FILIAL"</formula>
    </cfRule>
    <cfRule type="cellIs" dxfId="6160" priority="9006" operator="between">
      <formula>"ITAÚ FILIAL"</formula>
      <formula>"ITAÚ FILIAL"</formula>
    </cfRule>
    <cfRule type="cellIs" dxfId="6159" priority="9007" operator="between">
      <formula>"ITAÚ MATRIZ"</formula>
      <formula>"ITAÚ MATRIZ"</formula>
    </cfRule>
    <cfRule type="cellIs" dxfId="6158" priority="9008" operator="equal">
      <formula>"ITAÚ"</formula>
    </cfRule>
    <cfRule type="cellIs" dxfId="6157" priority="9009" operator="equal">
      <formula>"ITAÚ"</formula>
    </cfRule>
    <cfRule type="cellIs" dxfId="6156" priority="9010" operator="between">
      <formula>"SAFRA"</formula>
      <formula>"SAFRA"</formula>
    </cfRule>
    <cfRule type="cellIs" dxfId="6155" priority="9011" operator="between">
      <formula>"SAFRA"</formula>
      <formula>"SAFRA"</formula>
    </cfRule>
    <cfRule type="cellIs" dxfId="6154" priority="9012" operator="between">
      <formula>"DAYCOVAL"</formula>
      <formula>"DAYCOVAL"</formula>
    </cfRule>
    <cfRule type="cellIs" dxfId="6153" priority="9013" operator="between">
      <formula>"ITAÚ FILIAL"</formula>
      <formula>"ITAÚ FILIAL"</formula>
    </cfRule>
    <cfRule type="cellIs" dxfId="6152" priority="9014" operator="between">
      <formula>"ITAÚ FILIAL"</formula>
      <formula>"ITAÚ FILIAL"</formula>
    </cfRule>
    <cfRule type="cellIs" dxfId="6151" priority="9015" operator="equal">
      <formula>"ITAÚ"</formula>
    </cfRule>
    <cfRule type="cellIs" dxfId="6150" priority="9016" operator="equal">
      <formula>"ITAÚ MATRIZ"</formula>
    </cfRule>
    <cfRule type="cellIs" dxfId="6149" priority="9017" operator="between">
      <formula>"ITAÚ MATRIZ"</formula>
      <formula>"ITAÚ MATRIZ"</formula>
    </cfRule>
    <cfRule type="cellIs" dxfId="6148" priority="9018" operator="equal">
      <formula>"ITAÚ"</formula>
    </cfRule>
    <cfRule type="cellIs" dxfId="6147" priority="9019" operator="equal">
      <formula>"ITAÚ MATRIZ"</formula>
    </cfRule>
    <cfRule type="cellIs" dxfId="6146" priority="9020" operator="between">
      <formula>"SAFRA"</formula>
      <formula>"SAFRA"</formula>
    </cfRule>
    <cfRule type="cellIs" dxfId="6145" priority="9021" operator="between">
      <formula>"SAFRA"</formula>
      <formula>"SAFRA"</formula>
    </cfRule>
    <cfRule type="cellIs" dxfId="6144" priority="9022" operator="between">
      <formula>"DAYCOVAL"</formula>
      <formula>"DAYCOVAL"</formula>
    </cfRule>
    <cfRule type="cellIs" dxfId="6143" priority="9023" operator="between">
      <formula>"ITAÚ FILIAL"</formula>
      <formula>"ITAÚ FILIAL"</formula>
    </cfRule>
    <cfRule type="cellIs" dxfId="6142" priority="9024" operator="between">
      <formula>"ITAÚ FILIAL"</formula>
      <formula>"ITAÚ FILIAL"</formula>
    </cfRule>
    <cfRule type="cellIs" dxfId="6141" priority="9025" operator="between">
      <formula>"ITAÚ MATRIZ"</formula>
      <formula>"ITAÚ MATRIZ"</formula>
    </cfRule>
    <cfRule type="cellIs" dxfId="6140" priority="9026" operator="equal">
      <formula>"ITAÚ"</formula>
    </cfRule>
    <cfRule type="cellIs" dxfId="6139" priority="9027" operator="equal">
      <formula>"ITAÚ"</formula>
    </cfRule>
    <cfRule type="cellIs" dxfId="6138" priority="9028" operator="equal">
      <formula>"ITAÚ MATRIZ"</formula>
    </cfRule>
    <cfRule type="cellIs" dxfId="6137" priority="9029" operator="between">
      <formula>"SAFRA"</formula>
      <formula>"SAFRA"</formula>
    </cfRule>
    <cfRule type="cellIs" dxfId="6136" priority="9030" operator="between">
      <formula>"SAFRA"</formula>
      <formula>"SAFRA"</formula>
    </cfRule>
    <cfRule type="cellIs" dxfId="6135" priority="9031" operator="between">
      <formula>"DAYCOVAL"</formula>
      <formula>"DAYCOVAL"</formula>
    </cfRule>
    <cfRule type="cellIs" dxfId="6134" priority="9032" operator="between">
      <formula>"ITAÚ FILIAL"</formula>
      <formula>"ITAÚ FILIAL"</formula>
    </cfRule>
    <cfRule type="cellIs" dxfId="6133" priority="9033" operator="between">
      <formula>"ITAÚ FILIAL"</formula>
      <formula>"ITAÚ FILIAL"</formula>
    </cfRule>
    <cfRule type="cellIs" dxfId="6132" priority="9034" operator="between">
      <formula>"ITAÚ MATRIZ"</formula>
      <formula>"ITAÚ MATRIZ"</formula>
    </cfRule>
    <cfRule type="cellIs" dxfId="6131" priority="9035" operator="equal">
      <formula>"ITAÚ"</formula>
    </cfRule>
    <cfRule type="cellIs" dxfId="6130" priority="9036" operator="equal">
      <formula>"ITAÚ"</formula>
    </cfRule>
    <cfRule type="cellIs" dxfId="6129" priority="9037" operator="equal">
      <formula>"ITAÚ MATRIZ"</formula>
    </cfRule>
    <cfRule type="cellIs" dxfId="6128" priority="9038" operator="between">
      <formula>"SAFRA"</formula>
      <formula>"SAFRA"</formula>
    </cfRule>
    <cfRule type="cellIs" dxfId="6127" priority="9039" operator="between">
      <formula>"SAFRA"</formula>
      <formula>"SAFRA"</formula>
    </cfRule>
    <cfRule type="cellIs" dxfId="6126" priority="9040" operator="between">
      <formula>"DAYCOVAL"</formula>
      <formula>"DAYCOVAL"</formula>
    </cfRule>
    <cfRule type="cellIs" dxfId="6125" priority="9041" operator="between">
      <formula>"ITAÚ FILIAL"</formula>
      <formula>"ITAÚ FILIAL"</formula>
    </cfRule>
    <cfRule type="cellIs" dxfId="6124" priority="9042" operator="between">
      <formula>"ITAÚ FILIAL"</formula>
      <formula>"ITAÚ FILIAL"</formula>
    </cfRule>
    <cfRule type="cellIs" dxfId="6123" priority="9043" operator="between">
      <formula>"ITAÚ MATRIZ"</formula>
      <formula>"ITAÚ MATRIZ"</formula>
    </cfRule>
    <cfRule type="cellIs" dxfId="6122" priority="9044" operator="equal">
      <formula>"ITAÚ"</formula>
    </cfRule>
    <cfRule type="cellIs" dxfId="6121" priority="9045" operator="equal">
      <formula>"ITAÚ"</formula>
    </cfRule>
    <cfRule type="cellIs" dxfId="6120" priority="9046" operator="equal">
      <formula>"ITAÚ MATRIZ"</formula>
    </cfRule>
    <cfRule type="cellIs" dxfId="6119" priority="9047" operator="between">
      <formula>"SAFRA"</formula>
      <formula>"SAFRA"</formula>
    </cfRule>
    <cfRule type="cellIs" dxfId="6118" priority="9048" operator="between">
      <formula>"SAFRA"</formula>
      <formula>"SAFRA"</formula>
    </cfRule>
    <cfRule type="cellIs" dxfId="6117" priority="9049" operator="between">
      <formula>"DAYCOVAL"</formula>
      <formula>"DAYCOVAL"</formula>
    </cfRule>
    <cfRule type="cellIs" dxfId="6116" priority="9050" operator="between">
      <formula>"ITAÚ FILIAL"</formula>
      <formula>"ITAÚ FILIAL"</formula>
    </cfRule>
    <cfRule type="cellIs" dxfId="6115" priority="9051" operator="between">
      <formula>"ITAÚ FILIAL"</formula>
      <formula>"ITAÚ FILIAL"</formula>
    </cfRule>
    <cfRule type="cellIs" dxfId="6114" priority="9052" operator="between">
      <formula>"ITAÚ MATRIZ"</formula>
      <formula>"ITAÚ MATRIZ"</formula>
    </cfRule>
    <cfRule type="cellIs" dxfId="6113" priority="9053" operator="equal">
      <formula>"ITAÚ"</formula>
    </cfRule>
    <cfRule type="cellIs" dxfId="6112" priority="9054" operator="equal">
      <formula>"ITAÚ"</formula>
    </cfRule>
    <cfRule type="cellIs" dxfId="6111" priority="9055" operator="equal">
      <formula>"ITAÚ MATRIZ"</formula>
    </cfRule>
    <cfRule type="cellIs" dxfId="6110" priority="9056" operator="between">
      <formula>"SAFRA"</formula>
      <formula>"SAFRA"</formula>
    </cfRule>
    <cfRule type="cellIs" dxfId="6109" priority="9057" operator="between">
      <formula>"SAFRA"</formula>
      <formula>"SAFRA"</formula>
    </cfRule>
    <cfRule type="cellIs" dxfId="6108" priority="9058" operator="between">
      <formula>"DAYCOVAL"</formula>
      <formula>"DAYCOVAL"</formula>
    </cfRule>
    <cfRule type="cellIs" dxfId="6107" priority="9059" operator="between">
      <formula>"ITAÚ FILIAL"</formula>
      <formula>"ITAÚ FILIAL"</formula>
    </cfRule>
    <cfRule type="cellIs" dxfId="6106" priority="9060" operator="between">
      <formula>"ITAÚ FILIAL"</formula>
      <formula>"ITAÚ FILIAL"</formula>
    </cfRule>
    <cfRule type="cellIs" dxfId="6105" priority="9061" operator="between">
      <formula>"ITAÚ MATRIZ"</formula>
      <formula>"ITAÚ MATRIZ"</formula>
    </cfRule>
    <cfRule type="cellIs" dxfId="6104" priority="9062" operator="equal">
      <formula>"ITAÚ"</formula>
    </cfRule>
    <cfRule type="cellIs" dxfId="6103" priority="9063" operator="equal">
      <formula>"ITAÚ"</formula>
    </cfRule>
    <cfRule type="cellIs" dxfId="6102" priority="9064" operator="between">
      <formula>"SAFRA"</formula>
      <formula>"SAFRA"</formula>
    </cfRule>
    <cfRule type="cellIs" dxfId="6101" priority="9065" operator="between">
      <formula>"SAFRA"</formula>
      <formula>"SAFRA"</formula>
    </cfRule>
    <cfRule type="cellIs" dxfId="6100" priority="9066" operator="between">
      <formula>"DAYCOVAL"</formula>
      <formula>"DAYCOVAL"</formula>
    </cfRule>
    <cfRule type="cellIs" dxfId="6099" priority="9067" operator="between">
      <formula>"ITAÚ FILIAL"</formula>
      <formula>"ITAÚ FILIAL"</formula>
    </cfRule>
    <cfRule type="cellIs" dxfId="6098" priority="9068" operator="between">
      <formula>"ITAÚ FILIAL"</formula>
      <formula>"ITAÚ FILIAL"</formula>
    </cfRule>
    <cfRule type="cellIs" dxfId="6097" priority="9069" operator="equal">
      <formula>"ITAÚ"</formula>
    </cfRule>
    <cfRule type="cellIs" dxfId="6096" priority="9070" operator="equal">
      <formula>"ITAÚ MATRIZ"</formula>
    </cfRule>
    <cfRule type="cellIs" dxfId="6095" priority="9071" operator="between">
      <formula>"ITAÚ MATRIZ"</formula>
      <formula>"ITAÚ MATRIZ"</formula>
    </cfRule>
    <cfRule type="cellIs" dxfId="6094" priority="9072" operator="equal">
      <formula>"ITAÚ"</formula>
    </cfRule>
    <cfRule type="cellIs" dxfId="6093" priority="9073" operator="equal">
      <formula>"ITAÚ MATRIZ"</formula>
    </cfRule>
    <cfRule type="cellIs" dxfId="6092" priority="9074" operator="between">
      <formula>"SAFRA"</formula>
      <formula>"SAFRA"</formula>
    </cfRule>
    <cfRule type="cellIs" dxfId="6091" priority="9075" operator="between">
      <formula>"SAFRA"</formula>
      <formula>"SAFRA"</formula>
    </cfRule>
    <cfRule type="cellIs" dxfId="6090" priority="9076" operator="between">
      <formula>"DAYCOVAL"</formula>
      <formula>"DAYCOVAL"</formula>
    </cfRule>
    <cfRule type="cellIs" dxfId="6089" priority="9077" operator="between">
      <formula>"ITAÚ FILIAL"</formula>
      <formula>"ITAÚ FILIAL"</formula>
    </cfRule>
    <cfRule type="cellIs" dxfId="6088" priority="9078" operator="between">
      <formula>"ITAÚ FILIAL"</formula>
      <formula>"ITAÚ FILIAL"</formula>
    </cfRule>
    <cfRule type="cellIs" dxfId="6087" priority="9079" operator="between">
      <formula>"ITAÚ MATRIZ"</formula>
      <formula>"ITAÚ MATRIZ"</formula>
    </cfRule>
    <cfRule type="cellIs" dxfId="6086" priority="9080" operator="equal">
      <formula>"ITAÚ"</formula>
    </cfRule>
    <cfRule type="cellIs" dxfId="6085" priority="9081" operator="equal">
      <formula>"ITAÚ"</formula>
    </cfRule>
    <cfRule type="cellIs" dxfId="6084" priority="9082" operator="between">
      <formula>"SAFRA"</formula>
      <formula>"SAFRA"</formula>
    </cfRule>
    <cfRule type="cellIs" dxfId="6083" priority="9083" operator="between">
      <formula>"SAFRA"</formula>
      <formula>"SAFRA"</formula>
    </cfRule>
    <cfRule type="cellIs" dxfId="6082" priority="9084" operator="between">
      <formula>"DAYCOVAL"</formula>
      <formula>"DAYCOVAL"</formula>
    </cfRule>
    <cfRule type="cellIs" dxfId="6081" priority="9085" operator="between">
      <formula>"ITAÚ FILIAL"</formula>
      <formula>"ITAÚ FILIAL"</formula>
    </cfRule>
    <cfRule type="cellIs" dxfId="6080" priority="9086" operator="between">
      <formula>"ITAÚ FILIAL"</formula>
      <formula>"ITAÚ FILIAL"</formula>
    </cfRule>
    <cfRule type="cellIs" dxfId="6079" priority="9087" operator="equal">
      <formula>"ITAÚ"</formula>
    </cfRule>
    <cfRule type="cellIs" dxfId="6078" priority="9088" operator="equal">
      <formula>"ITAÚ MATRIZ"</formula>
    </cfRule>
    <cfRule type="cellIs" dxfId="6077" priority="9089" operator="between">
      <formula>"ITAÚ MATRIZ"</formula>
      <formula>"ITAÚ MATRIZ"</formula>
    </cfRule>
    <cfRule type="cellIs" dxfId="6076" priority="9090" operator="equal">
      <formula>"ITAÚ"</formula>
    </cfRule>
    <cfRule type="cellIs" dxfId="6075" priority="9091" operator="equal">
      <formula>"ITAÚ MATRIZ"</formula>
    </cfRule>
    <cfRule type="cellIs" dxfId="6074" priority="9092" operator="between">
      <formula>"SAFRA"</formula>
      <formula>"SAFRA"</formula>
    </cfRule>
    <cfRule type="cellIs" dxfId="6073" priority="9093" operator="between">
      <formula>"SAFRA"</formula>
      <formula>"SAFRA"</formula>
    </cfRule>
    <cfRule type="cellIs" dxfId="6072" priority="9094" operator="between">
      <formula>"DAYCOVAL"</formula>
      <formula>"DAYCOVAL"</formula>
    </cfRule>
    <cfRule type="cellIs" dxfId="6071" priority="9095" operator="between">
      <formula>"ITAÚ FILIAL"</formula>
      <formula>"ITAÚ FILIAL"</formula>
    </cfRule>
    <cfRule type="cellIs" dxfId="6070" priority="9096" operator="between">
      <formula>"ITAÚ FILIAL"</formula>
      <formula>"ITAÚ FILIAL"</formula>
    </cfRule>
    <cfRule type="cellIs" dxfId="6069" priority="9097" operator="between">
      <formula>"ITAÚ MATRIZ"</formula>
      <formula>"ITAÚ MATRIZ"</formula>
    </cfRule>
    <cfRule type="cellIs" dxfId="6068" priority="9098" operator="equal">
      <formula>"ITAÚ"</formula>
    </cfRule>
    <cfRule type="cellIs" dxfId="6067" priority="9099" operator="equal">
      <formula>"ITAÚ"</formula>
    </cfRule>
    <cfRule type="cellIs" dxfId="6066" priority="9100" operator="equal">
      <formula>"ITAÚ MATRIZ"</formula>
    </cfRule>
    <cfRule type="cellIs" dxfId="6065" priority="9101" operator="between">
      <formula>"SAFRA"</formula>
      <formula>"SAFRA"</formula>
    </cfRule>
    <cfRule type="cellIs" dxfId="6064" priority="9102" operator="between">
      <formula>"SAFRA"</formula>
      <formula>"SAFRA"</formula>
    </cfRule>
    <cfRule type="cellIs" dxfId="6063" priority="9103" operator="between">
      <formula>"DAYCOVAL"</formula>
      <formula>"DAYCOVAL"</formula>
    </cfRule>
    <cfRule type="cellIs" dxfId="6062" priority="9104" operator="between">
      <formula>"ITAÚ FILIAL"</formula>
      <formula>"ITAÚ FILIAL"</formula>
    </cfRule>
    <cfRule type="cellIs" dxfId="6061" priority="9105" operator="between">
      <formula>"ITAÚ FILIAL"</formula>
      <formula>"ITAÚ FILIAL"</formula>
    </cfRule>
    <cfRule type="cellIs" dxfId="6060" priority="9106" operator="between">
      <formula>"ITAÚ MATRIZ"</formula>
      <formula>"ITAÚ MATRIZ"</formula>
    </cfRule>
    <cfRule type="cellIs" dxfId="6059" priority="9107" operator="equal">
      <formula>"ITAÚ"</formula>
    </cfRule>
    <cfRule type="cellIs" dxfId="6058" priority="9108" operator="equal">
      <formula>"ITAÚ"</formula>
    </cfRule>
    <cfRule type="cellIs" dxfId="6057" priority="9109" operator="equal">
      <formula>"ITAÚ MATRIZ"</formula>
    </cfRule>
    <cfRule type="cellIs" dxfId="6056" priority="9110" operator="between">
      <formula>"SAFRA"</formula>
      <formula>"SAFRA"</formula>
    </cfRule>
    <cfRule type="cellIs" dxfId="6055" priority="9111" operator="between">
      <formula>"SAFRA"</formula>
      <formula>"SAFRA"</formula>
    </cfRule>
    <cfRule type="cellIs" dxfId="6054" priority="9112" operator="between">
      <formula>"DAYCOVAL"</formula>
      <formula>"DAYCOVAL"</formula>
    </cfRule>
    <cfRule type="cellIs" dxfId="6053" priority="9113" operator="between">
      <formula>"ITAÚ FILIAL"</formula>
      <formula>"ITAÚ FILIAL"</formula>
    </cfRule>
    <cfRule type="cellIs" dxfId="6052" priority="9114" operator="between">
      <formula>"ITAÚ FILIAL"</formula>
      <formula>"ITAÚ FILIAL"</formula>
    </cfRule>
    <cfRule type="cellIs" dxfId="6051" priority="9115" operator="between">
      <formula>"ITAÚ MATRIZ"</formula>
      <formula>"ITAÚ MATRIZ"</formula>
    </cfRule>
    <cfRule type="cellIs" dxfId="6050" priority="9116" operator="equal">
      <formula>"ITAÚ"</formula>
    </cfRule>
    <cfRule type="cellIs" dxfId="6049" priority="9117" operator="equal">
      <formula>"ITAÚ"</formula>
    </cfRule>
    <cfRule type="cellIs" dxfId="6048" priority="9118" operator="equal">
      <formula>"ITAÚ MATRIZ"</formula>
    </cfRule>
    <cfRule type="cellIs" dxfId="6047" priority="9119" operator="between">
      <formula>"SAFRA"</formula>
      <formula>"SAFRA"</formula>
    </cfRule>
    <cfRule type="cellIs" dxfId="6046" priority="9120" operator="between">
      <formula>"SAFRA"</formula>
      <formula>"SAFRA"</formula>
    </cfRule>
    <cfRule type="cellIs" dxfId="6045" priority="9121" operator="between">
      <formula>"DAYCOVAL"</formula>
      <formula>"DAYCOVAL"</formula>
    </cfRule>
    <cfRule type="cellIs" dxfId="6044" priority="9122" operator="between">
      <formula>"ITAÚ FILIAL"</formula>
      <formula>"ITAÚ FILIAL"</formula>
    </cfRule>
    <cfRule type="cellIs" dxfId="6043" priority="9123" operator="between">
      <formula>"ITAÚ FILIAL"</formula>
      <formula>"ITAÚ FILIAL"</formula>
    </cfRule>
    <cfRule type="cellIs" dxfId="6042" priority="9124" operator="between">
      <formula>"ITAÚ MATRIZ"</formula>
      <formula>"ITAÚ MATRIZ"</formula>
    </cfRule>
    <cfRule type="cellIs" dxfId="6041" priority="9125" operator="equal">
      <formula>"ITAÚ"</formula>
    </cfRule>
    <cfRule type="cellIs" dxfId="6040" priority="9126" operator="equal">
      <formula>"ITAÚ"</formula>
    </cfRule>
    <cfRule type="cellIs" dxfId="6039" priority="9127" operator="equal">
      <formula>"ITAÚ MATRIZ"</formula>
    </cfRule>
    <cfRule type="cellIs" dxfId="6038" priority="9128" operator="between">
      <formula>"SAFRA"</formula>
      <formula>"SAFRA"</formula>
    </cfRule>
    <cfRule type="cellIs" dxfId="6037" priority="9129" operator="between">
      <formula>"SAFRA"</formula>
      <formula>"SAFRA"</formula>
    </cfRule>
    <cfRule type="cellIs" dxfId="6036" priority="9130" operator="between">
      <formula>"DAYCOVAL"</formula>
      <formula>"DAYCOVAL"</formula>
    </cfRule>
    <cfRule type="cellIs" dxfId="6035" priority="9131" operator="between">
      <formula>"ITAÚ FILIAL"</formula>
      <formula>"ITAÚ FILIAL"</formula>
    </cfRule>
    <cfRule type="cellIs" dxfId="6034" priority="9132" operator="between">
      <formula>"ITAÚ FILIAL"</formula>
      <formula>"ITAÚ FILIAL"</formula>
    </cfRule>
    <cfRule type="cellIs" dxfId="6033" priority="9133" operator="between">
      <formula>"ITAÚ MATRIZ"</formula>
      <formula>"ITAÚ MATRIZ"</formula>
    </cfRule>
    <cfRule type="cellIs" dxfId="6032" priority="9134" operator="equal">
      <formula>"ITAÚ"</formula>
    </cfRule>
    <cfRule type="cellIs" dxfId="6031" priority="9135" operator="equal">
      <formula>"ITAÚ"</formula>
    </cfRule>
    <cfRule type="cellIs" dxfId="6030" priority="9136" operator="between">
      <formula>"SAFRA"</formula>
      <formula>"SAFRA"</formula>
    </cfRule>
    <cfRule type="cellIs" dxfId="6029" priority="9137" operator="between">
      <formula>"SAFRA"</formula>
      <formula>"SAFRA"</formula>
    </cfRule>
    <cfRule type="cellIs" dxfId="6028" priority="9138" operator="between">
      <formula>"DAYCOVAL"</formula>
      <formula>"DAYCOVAL"</formula>
    </cfRule>
    <cfRule type="cellIs" dxfId="6027" priority="9139" operator="between">
      <formula>"ITAÚ FILIAL"</formula>
      <formula>"ITAÚ FILIAL"</formula>
    </cfRule>
    <cfRule type="cellIs" dxfId="6026" priority="9140" operator="between">
      <formula>"ITAÚ FILIAL"</formula>
      <formula>"ITAÚ FILIAL"</formula>
    </cfRule>
    <cfRule type="cellIs" dxfId="6025" priority="9141" operator="equal">
      <formula>"ITAÚ"</formula>
    </cfRule>
    <cfRule type="cellIs" dxfId="6024" priority="9142" operator="equal">
      <formula>"ITAÚ MATRIZ"</formula>
    </cfRule>
    <cfRule type="cellIs" dxfId="6023" priority="9143" operator="between">
      <formula>"ITAÚ MATRIZ"</formula>
      <formula>"ITAÚ MATRIZ"</formula>
    </cfRule>
    <cfRule type="cellIs" dxfId="6022" priority="9144" operator="equal">
      <formula>"ITAÚ"</formula>
    </cfRule>
    <cfRule type="cellIs" dxfId="6021" priority="9145" operator="equal">
      <formula>"ITAÚ MATRIZ"</formula>
    </cfRule>
    <cfRule type="cellIs" dxfId="6020" priority="9146" operator="between">
      <formula>"SAFRA"</formula>
      <formula>"SAFRA"</formula>
    </cfRule>
    <cfRule type="cellIs" dxfId="6019" priority="9147" operator="between">
      <formula>"SAFRA"</formula>
      <formula>"SAFRA"</formula>
    </cfRule>
    <cfRule type="cellIs" dxfId="6018" priority="9148" operator="between">
      <formula>"DAYCOVAL"</formula>
      <formula>"DAYCOVAL"</formula>
    </cfRule>
    <cfRule type="cellIs" dxfId="6017" priority="9149" operator="between">
      <formula>"ITAÚ FILIAL"</formula>
      <formula>"ITAÚ FILIAL"</formula>
    </cfRule>
    <cfRule type="cellIs" dxfId="6016" priority="9150" operator="between">
      <formula>"ITAÚ FILIAL"</formula>
      <formula>"ITAÚ FILIAL"</formula>
    </cfRule>
    <cfRule type="cellIs" dxfId="6015" priority="9151" operator="between">
      <formula>"ITAÚ MATRIZ"</formula>
      <formula>"ITAÚ MATRIZ"</formula>
    </cfRule>
    <cfRule type="cellIs" dxfId="6014" priority="9152" operator="equal">
      <formula>"ITAÚ"</formula>
    </cfRule>
    <cfRule type="cellIs" dxfId="6013" priority="9153" operator="equal">
      <formula>"ITAÚ"</formula>
    </cfRule>
    <cfRule type="cellIs" dxfId="6012" priority="9154" operator="between">
      <formula>"SAFRA"</formula>
      <formula>"SAFRA"</formula>
    </cfRule>
    <cfRule type="cellIs" dxfId="6011" priority="9155" operator="between">
      <formula>"SAFRA"</formula>
      <formula>"SAFRA"</formula>
    </cfRule>
    <cfRule type="cellIs" dxfId="6010" priority="9156" operator="between">
      <formula>"DAYCOVAL"</formula>
      <formula>"DAYCOVAL"</formula>
    </cfRule>
    <cfRule type="cellIs" dxfId="6009" priority="9157" operator="between">
      <formula>"ITAÚ FILIAL"</formula>
      <formula>"ITAÚ FILIAL"</formula>
    </cfRule>
    <cfRule type="cellIs" dxfId="6008" priority="9158" operator="between">
      <formula>"ITAÚ FILIAL"</formula>
      <formula>"ITAÚ FILIAL"</formula>
    </cfRule>
    <cfRule type="cellIs" dxfId="6007" priority="9159" operator="equal">
      <formula>"ITAÚ"</formula>
    </cfRule>
    <cfRule type="cellIs" dxfId="6006" priority="9160" operator="equal">
      <formula>"ITAÚ MATRIZ"</formula>
    </cfRule>
    <cfRule type="cellIs" dxfId="6005" priority="9161" operator="between">
      <formula>"ITAÚ MATRIZ"</formula>
      <formula>"ITAÚ MATRIZ"</formula>
    </cfRule>
    <cfRule type="cellIs" dxfId="6004" priority="9162" operator="equal">
      <formula>"ITAÚ"</formula>
    </cfRule>
    <cfRule type="cellIs" dxfId="6003" priority="9163" operator="equal">
      <formula>"ITAÚ MATRIZ"</formula>
    </cfRule>
    <cfRule type="cellIs" dxfId="6002" priority="9164" operator="between">
      <formula>"SAFRA"</formula>
      <formula>"SAFRA"</formula>
    </cfRule>
    <cfRule type="cellIs" dxfId="6001" priority="9165" operator="between">
      <formula>"SAFRA"</formula>
      <formula>"SAFRA"</formula>
    </cfRule>
    <cfRule type="cellIs" dxfId="6000" priority="9166" operator="between">
      <formula>"DAYCOVAL"</formula>
      <formula>"DAYCOVAL"</formula>
    </cfRule>
    <cfRule type="cellIs" dxfId="5999" priority="9167" operator="between">
      <formula>"ITAÚ FILIAL"</formula>
      <formula>"ITAÚ FILIAL"</formula>
    </cfRule>
    <cfRule type="cellIs" dxfId="5998" priority="9168" operator="between">
      <formula>"ITAÚ FILIAL"</formula>
      <formula>"ITAÚ FILIAL"</formula>
    </cfRule>
    <cfRule type="cellIs" dxfId="5997" priority="9169" operator="between">
      <formula>"ITAÚ MATRIZ"</formula>
      <formula>"ITAÚ MATRIZ"</formula>
    </cfRule>
    <cfRule type="cellIs" dxfId="5996" priority="9170" operator="equal">
      <formula>"ITAÚ"</formula>
    </cfRule>
    <cfRule type="cellIs" dxfId="5995" priority="9171" operator="equal">
      <formula>"ITAÚ"</formula>
    </cfRule>
    <cfRule type="cellIs" dxfId="5994" priority="9172" operator="between">
      <formula>"SAFRA"</formula>
      <formula>"SAFRA"</formula>
    </cfRule>
    <cfRule type="cellIs" dxfId="5993" priority="9173" operator="between">
      <formula>"SAFRA"</formula>
      <formula>"SAFRA"</formula>
    </cfRule>
    <cfRule type="cellIs" dxfId="5992" priority="9174" operator="between">
      <formula>"DAYCOVAL"</formula>
      <formula>"DAYCOVAL"</formula>
    </cfRule>
    <cfRule type="cellIs" dxfId="5991" priority="9175" operator="between">
      <formula>"ITAÚ FILIAL"</formula>
      <formula>"ITAÚ FILIAL"</formula>
    </cfRule>
    <cfRule type="cellIs" dxfId="5990" priority="9176" operator="between">
      <formula>"ITAÚ FILIAL"</formula>
      <formula>"ITAÚ FILIAL"</formula>
    </cfRule>
    <cfRule type="cellIs" dxfId="5989" priority="9177" operator="equal">
      <formula>"ITAÚ"</formula>
    </cfRule>
    <cfRule type="cellIs" dxfId="5988" priority="9178" operator="equal">
      <formula>"ITAÚ MATRIZ"</formula>
    </cfRule>
    <cfRule type="cellIs" dxfId="5987" priority="9179" operator="between">
      <formula>"ITAÚ MATRIZ"</formula>
      <formula>"ITAÚ MATRIZ"</formula>
    </cfRule>
    <cfRule type="cellIs" dxfId="5986" priority="9180" operator="equal">
      <formula>"ITAÚ"</formula>
    </cfRule>
    <cfRule type="cellIs" dxfId="5985" priority="9181" operator="between">
      <formula>"SAFRA"</formula>
      <formula>"SAFRA"</formula>
    </cfRule>
    <cfRule type="cellIs" dxfId="5984" priority="9182" operator="between">
      <formula>"SAFRA"</formula>
      <formula>"SAFRA"</formula>
    </cfRule>
    <cfRule type="cellIs" dxfId="5983" priority="9183" operator="between">
      <formula>"DAYCOVAL"</formula>
      <formula>"DAYCOVAL"</formula>
    </cfRule>
    <cfRule type="cellIs" dxfId="5982" priority="9184" operator="between">
      <formula>"ITAÚ FILIAL"</formula>
      <formula>"ITAÚ FILIAL"</formula>
    </cfRule>
    <cfRule type="cellIs" dxfId="5981" priority="9185" operator="between">
      <formula>"ITAÚ FILIAL"</formula>
      <formula>"ITAÚ FILIAL"</formula>
    </cfRule>
    <cfRule type="cellIs" dxfId="5980" priority="9186" operator="equal">
      <formula>"ITAÚ"</formula>
    </cfRule>
    <cfRule type="cellIs" dxfId="5979" priority="9187" operator="equal">
      <formula>"ITAÚ MATRIZ"</formula>
    </cfRule>
    <cfRule type="cellIs" dxfId="5978" priority="9188" operator="between">
      <formula>"ITAÚ MATRIZ"</formula>
      <formula>"ITAÚ MATRIZ"</formula>
    </cfRule>
    <cfRule type="cellIs" dxfId="5977" priority="9408" operator="between">
      <formula>"ITAÚ MATRIZ"</formula>
      <formula>"ITAÚ MATRIZ"</formula>
    </cfRule>
    <cfRule type="cellIs" dxfId="5976" priority="8998" operator="between">
      <formula>"ITAÚ MATRIZ"</formula>
      <formula>"ITAÚ MATRIZ"</formula>
    </cfRule>
    <cfRule type="cellIs" dxfId="5975" priority="9212" operator="equal">
      <formula>"ITAÚ MATRIZ"</formula>
    </cfRule>
    <cfRule type="cellIs" dxfId="5974" priority="9214" operator="between">
      <formula>"SAFRA"</formula>
      <formula>"SAFRA"</formula>
    </cfRule>
    <cfRule type="cellIs" dxfId="5973" priority="9404" operator="between">
      <formula>"ITAÚ FILIAL"</formula>
      <formula>"ITAÚ FILIAL"</formula>
    </cfRule>
    <cfRule type="cellIs" dxfId="5972" priority="9215" operator="between">
      <formula>"DAYCOVAL"</formula>
      <formula>"DAYCOVAL"</formula>
    </cfRule>
    <cfRule type="cellIs" dxfId="5971" priority="8996" operator="between">
      <formula>"ITAÚ FILIAL"</formula>
      <formula>"ITAÚ FILIAL"</formula>
    </cfRule>
    <cfRule type="cellIs" dxfId="5970" priority="8997" operator="between">
      <formula>"ITAÚ FILIAL"</formula>
      <formula>"ITAÚ FILIAL"</formula>
    </cfRule>
    <cfRule type="cellIs" dxfId="5969" priority="9400" operator="equal">
      <formula>"ITAÚ"</formula>
    </cfRule>
    <cfRule type="cellIs" dxfId="5968" priority="9399" operator="between">
      <formula>"ITAÚ MATRIZ"</formula>
      <formula>"ITAÚ MATRIZ"</formula>
    </cfRule>
    <cfRule type="cellIs" dxfId="5967" priority="9398" operator="equal">
      <formula>"ITAÚ MATRIZ"</formula>
    </cfRule>
    <cfRule type="cellIs" dxfId="5966" priority="9397" operator="equal">
      <formula>"ITAÚ"</formula>
    </cfRule>
    <cfRule type="cellIs" dxfId="5965" priority="9396" operator="between">
      <formula>"ITAÚ FILIAL"</formula>
      <formula>"ITAÚ FILIAL"</formula>
    </cfRule>
    <cfRule type="cellIs" dxfId="5964" priority="9395" operator="between">
      <formula>"ITAÚ FILIAL"</formula>
      <formula>"ITAÚ FILIAL"</formula>
    </cfRule>
    <cfRule type="cellIs" dxfId="5963" priority="9394" operator="between">
      <formula>"DAYCOVAL"</formula>
      <formula>"DAYCOVAL"</formula>
    </cfRule>
    <cfRule type="cellIs" dxfId="5962" priority="9393" operator="between">
      <formula>"SAFRA"</formula>
      <formula>"SAFRA"</formula>
    </cfRule>
    <cfRule type="cellIs" dxfId="5961" priority="9392" operator="between">
      <formula>"SAFRA"</formula>
      <formula>"SAFRA"</formula>
    </cfRule>
    <cfRule type="cellIs" dxfId="5960" priority="9391" operator="equal">
      <formula>"ITAÚ"</formula>
    </cfRule>
    <cfRule type="cellIs" dxfId="5959" priority="9390" operator="equal">
      <formula>"ITAÚ"</formula>
    </cfRule>
    <cfRule type="cellIs" dxfId="5958" priority="9389" operator="between">
      <formula>"ITAÚ MATRIZ"</formula>
      <formula>"ITAÚ MATRIZ"</formula>
    </cfRule>
    <cfRule type="cellIs" dxfId="5957" priority="9388" operator="between">
      <formula>"ITAÚ FILIAL"</formula>
      <formula>"ITAÚ FILIAL"</formula>
    </cfRule>
    <cfRule type="cellIs" dxfId="5956" priority="9387" operator="between">
      <formula>"ITAÚ FILIAL"</formula>
      <formula>"ITAÚ FILIAL"</formula>
    </cfRule>
    <cfRule type="cellIs" dxfId="5955" priority="9386" operator="between">
      <formula>"DAYCOVAL"</formula>
      <formula>"DAYCOVAL"</formula>
    </cfRule>
    <cfRule type="cellIs" dxfId="5954" priority="9385" operator="between">
      <formula>"SAFRA"</formula>
      <formula>"SAFRA"</formula>
    </cfRule>
    <cfRule type="cellIs" dxfId="5953" priority="9384" operator="between">
      <formula>"SAFRA"</formula>
      <formula>"SAFRA"</formula>
    </cfRule>
    <cfRule type="cellIs" dxfId="5952" priority="9383" operator="equal">
      <formula>"ITAÚ MATRIZ"</formula>
    </cfRule>
    <cfRule type="cellIs" dxfId="5951" priority="9382" operator="equal">
      <formula>"ITAÚ"</formula>
    </cfRule>
    <cfRule type="cellIs" dxfId="5950" priority="9381" operator="between">
      <formula>"ITAÚ MATRIZ"</formula>
      <formula>"ITAÚ MATRIZ"</formula>
    </cfRule>
    <cfRule type="cellIs" dxfId="5949" priority="9380" operator="equal">
      <formula>"ITAÚ MATRIZ"</formula>
    </cfRule>
    <cfRule type="cellIs" dxfId="5948" priority="9379" operator="equal">
      <formula>"ITAÚ"</formula>
    </cfRule>
    <cfRule type="cellIs" dxfId="5947" priority="9378" operator="between">
      <formula>"ITAÚ FILIAL"</formula>
      <formula>"ITAÚ FILIAL"</formula>
    </cfRule>
    <cfRule type="cellIs" dxfId="5946" priority="9377" operator="between">
      <formula>"ITAÚ FILIAL"</formula>
      <formula>"ITAÚ FILIAL"</formula>
    </cfRule>
    <cfRule type="cellIs" dxfId="5945" priority="9376" operator="between">
      <formula>"DAYCOVAL"</formula>
      <formula>"DAYCOVAL"</formula>
    </cfRule>
    <cfRule type="cellIs" dxfId="5944" priority="9375" operator="between">
      <formula>"SAFRA"</formula>
      <formula>"SAFRA"</formula>
    </cfRule>
    <cfRule type="cellIs" dxfId="5943" priority="9374" operator="between">
      <formula>"SAFRA"</formula>
      <formula>"SAFRA"</formula>
    </cfRule>
    <cfRule type="cellIs" dxfId="5942" priority="9373" operator="equal">
      <formula>"ITAÚ"</formula>
    </cfRule>
    <cfRule type="cellIs" dxfId="5941" priority="9372" operator="equal">
      <formula>"ITAÚ"</formula>
    </cfRule>
    <cfRule type="cellIs" dxfId="5940" priority="9371" operator="between">
      <formula>"ITAÚ MATRIZ"</formula>
      <formula>"ITAÚ MATRIZ"</formula>
    </cfRule>
    <cfRule type="cellIs" dxfId="5939" priority="9370" operator="between">
      <formula>"ITAÚ FILIAL"</formula>
      <formula>"ITAÚ FILIAL"</formula>
    </cfRule>
    <cfRule type="cellIs" dxfId="5938" priority="9369" operator="between">
      <formula>"ITAÚ FILIAL"</formula>
      <formula>"ITAÚ FILIAL"</formula>
    </cfRule>
    <cfRule type="cellIs" dxfId="5937" priority="9368" operator="between">
      <formula>"DAYCOVAL"</formula>
      <formula>"DAYCOVAL"</formula>
    </cfRule>
    <cfRule type="cellIs" dxfId="5936" priority="9367" operator="between">
      <formula>"SAFRA"</formula>
      <formula>"SAFRA"</formula>
    </cfRule>
    <cfRule type="cellIs" dxfId="5935" priority="9366" operator="between">
      <formula>"SAFRA"</formula>
      <formula>"SAFRA"</formula>
    </cfRule>
    <cfRule type="cellIs" dxfId="5934" priority="9365" operator="equal">
      <formula>"ITAÚ MATRIZ"</formula>
    </cfRule>
    <cfRule type="cellIs" dxfId="5933" priority="9364" operator="equal">
      <formula>"ITAÚ"</formula>
    </cfRule>
    <cfRule type="cellIs" dxfId="5932" priority="9363" operator="between">
      <formula>"ITAÚ MATRIZ"</formula>
      <formula>"ITAÚ MATRIZ"</formula>
    </cfRule>
    <cfRule type="cellIs" dxfId="5931" priority="9362" operator="equal">
      <formula>"ITAÚ MATRIZ"</formula>
    </cfRule>
    <cfRule type="cellIs" dxfId="5930" priority="9361" operator="equal">
      <formula>"ITAÚ"</formula>
    </cfRule>
    <cfRule type="cellIs" dxfId="5929" priority="9360" operator="between">
      <formula>"ITAÚ FILIAL"</formula>
      <formula>"ITAÚ FILIAL"</formula>
    </cfRule>
    <cfRule type="cellIs" dxfId="5928" priority="9359" operator="between">
      <formula>"ITAÚ FILIAL"</formula>
      <formula>"ITAÚ FILIAL"</formula>
    </cfRule>
    <cfRule type="cellIs" dxfId="5927" priority="9358" operator="between">
      <formula>"DAYCOVAL"</formula>
      <formula>"DAYCOVAL"</formula>
    </cfRule>
    <cfRule type="cellIs" dxfId="5926" priority="9357" operator="between">
      <formula>"SAFRA"</formula>
      <formula>"SAFRA"</formula>
    </cfRule>
    <cfRule type="cellIs" dxfId="5925" priority="9356" operator="between">
      <formula>"SAFRA"</formula>
      <formula>"SAFRA"</formula>
    </cfRule>
    <cfRule type="cellIs" dxfId="5924" priority="9355" operator="equal">
      <formula>"ITAÚ"</formula>
    </cfRule>
    <cfRule type="cellIs" dxfId="5923" priority="9354" operator="equal">
      <formula>"ITAÚ"</formula>
    </cfRule>
    <cfRule type="cellIs" dxfId="5922" priority="9353" operator="between">
      <formula>"ITAÚ MATRIZ"</formula>
      <formula>"ITAÚ MATRIZ"</formula>
    </cfRule>
    <cfRule type="cellIs" dxfId="5921" priority="9352" operator="between">
      <formula>"ITAÚ FILIAL"</formula>
      <formula>"ITAÚ FILIAL"</formula>
    </cfRule>
    <cfRule type="cellIs" dxfId="5920" priority="9351" operator="between">
      <formula>"ITAÚ FILIAL"</formula>
      <formula>"ITAÚ FILIAL"</formula>
    </cfRule>
    <cfRule type="cellIs" dxfId="5919" priority="9350" operator="between">
      <formula>"DAYCOVAL"</formula>
      <formula>"DAYCOVAL"</formula>
    </cfRule>
    <cfRule type="cellIs" dxfId="5918" priority="9349" operator="between">
      <formula>"SAFRA"</formula>
      <formula>"SAFRA"</formula>
    </cfRule>
    <cfRule type="cellIs" dxfId="5917" priority="9348" operator="between">
      <formula>"SAFRA"</formula>
      <formula>"SAFRA"</formula>
    </cfRule>
    <cfRule type="cellIs" dxfId="5916" priority="9347" operator="equal">
      <formula>"ITAÚ MATRIZ"</formula>
    </cfRule>
    <cfRule type="cellIs" dxfId="5915" priority="9346" operator="equal">
      <formula>"ITAÚ"</formula>
    </cfRule>
    <cfRule type="cellIs" dxfId="5914" priority="9345" operator="equal">
      <formula>"ITAÚ"</formula>
    </cfRule>
    <cfRule type="cellIs" dxfId="5913" priority="9344" operator="between">
      <formula>"ITAÚ MATRIZ"</formula>
      <formula>"ITAÚ MATRIZ"</formula>
    </cfRule>
    <cfRule type="cellIs" dxfId="5912" priority="9343" operator="between">
      <formula>"ITAÚ FILIAL"</formula>
      <formula>"ITAÚ FILIAL"</formula>
    </cfRule>
    <cfRule type="cellIs" dxfId="5911" priority="9342" operator="between">
      <formula>"ITAÚ FILIAL"</formula>
      <formula>"ITAÚ FILIAL"</formula>
    </cfRule>
    <cfRule type="cellIs" dxfId="5910" priority="9341" operator="between">
      <formula>"DAYCOVAL"</formula>
      <formula>"DAYCOVAL"</formula>
    </cfRule>
    <cfRule type="cellIs" dxfId="5909" priority="9340" operator="between">
      <formula>"SAFRA"</formula>
      <formula>"SAFRA"</formula>
    </cfRule>
    <cfRule type="cellIs" dxfId="5908" priority="9339" operator="between">
      <formula>"SAFRA"</formula>
      <formula>"SAFRA"</formula>
    </cfRule>
    <cfRule type="cellIs" dxfId="5907" priority="9338" operator="equal">
      <formula>"ITAÚ MATRIZ"</formula>
    </cfRule>
    <cfRule type="cellIs" dxfId="5906" priority="9337" operator="equal">
      <formula>"ITAÚ"</formula>
    </cfRule>
    <cfRule type="cellIs" dxfId="5905" priority="9336" operator="equal">
      <formula>"ITAÚ"</formula>
    </cfRule>
    <cfRule type="cellIs" dxfId="5904" priority="9335" operator="between">
      <formula>"ITAÚ MATRIZ"</formula>
      <formula>"ITAÚ MATRIZ"</formula>
    </cfRule>
    <cfRule type="cellIs" dxfId="5903" priority="9334" operator="between">
      <formula>"ITAÚ FILIAL"</formula>
      <formula>"ITAÚ FILIAL"</formula>
    </cfRule>
    <cfRule type="cellIs" dxfId="5902" priority="9333" operator="between">
      <formula>"ITAÚ FILIAL"</formula>
      <formula>"ITAÚ FILIAL"</formula>
    </cfRule>
    <cfRule type="cellIs" dxfId="5901" priority="9332" operator="between">
      <formula>"DAYCOVAL"</formula>
      <formula>"DAYCOVAL"</formula>
    </cfRule>
    <cfRule type="cellIs" dxfId="5900" priority="9331" operator="between">
      <formula>"SAFRA"</formula>
      <formula>"SAFRA"</formula>
    </cfRule>
    <cfRule type="cellIs" dxfId="5899" priority="9330" operator="between">
      <formula>"SAFRA"</formula>
      <formula>"SAFRA"</formula>
    </cfRule>
    <cfRule type="cellIs" dxfId="5898" priority="9329" operator="equal">
      <formula>"ITAÚ MATRIZ"</formula>
    </cfRule>
    <cfRule type="cellIs" dxfId="5897" priority="9328" operator="equal">
      <formula>"ITAÚ"</formula>
    </cfRule>
    <cfRule type="cellIs" dxfId="5896" priority="9327" operator="equal">
      <formula>"ITAÚ"</formula>
    </cfRule>
    <cfRule type="cellIs" dxfId="5895" priority="9326" operator="between">
      <formula>"ITAÚ MATRIZ"</formula>
      <formula>"ITAÚ MATRIZ"</formula>
    </cfRule>
    <cfRule type="cellIs" dxfId="5894" priority="9325" operator="between">
      <formula>"ITAÚ FILIAL"</formula>
      <formula>"ITAÚ FILIAL"</formula>
    </cfRule>
    <cfRule type="cellIs" dxfId="5893" priority="9324" operator="between">
      <formula>"ITAÚ FILIAL"</formula>
      <formula>"ITAÚ FILIAL"</formula>
    </cfRule>
    <cfRule type="cellIs" dxfId="5892" priority="9323" operator="between">
      <formula>"DAYCOVAL"</formula>
      <formula>"DAYCOVAL"</formula>
    </cfRule>
    <cfRule type="cellIs" dxfId="5891" priority="9322" operator="between">
      <formula>"SAFRA"</formula>
      <formula>"SAFRA"</formula>
    </cfRule>
    <cfRule type="cellIs" dxfId="5890" priority="9321" operator="between">
      <formula>"SAFRA"</formula>
      <formula>"SAFRA"</formula>
    </cfRule>
    <cfRule type="cellIs" dxfId="5889" priority="9320" operator="equal">
      <formula>"ITAÚ MATRIZ"</formula>
    </cfRule>
    <cfRule type="cellIs" dxfId="5888" priority="9319" operator="equal">
      <formula>"ITAÚ"</formula>
    </cfRule>
    <cfRule type="cellIs" dxfId="5887" priority="9318" operator="equal">
      <formula>"ITAÚ"</formula>
    </cfRule>
    <cfRule type="cellIs" dxfId="5886" priority="9317" operator="between">
      <formula>"ITAÚ MATRIZ"</formula>
      <formula>"ITAÚ MATRIZ"</formula>
    </cfRule>
    <cfRule type="cellIs" dxfId="5885" priority="9316" operator="between">
      <formula>"ITAÚ FILIAL"</formula>
      <formula>"ITAÚ FILIAL"</formula>
    </cfRule>
    <cfRule type="cellIs" dxfId="5884" priority="9315" operator="between">
      <formula>"ITAÚ FILIAL"</formula>
      <formula>"ITAÚ FILIAL"</formula>
    </cfRule>
    <cfRule type="cellIs" dxfId="5883" priority="9314" operator="between">
      <formula>"DAYCOVAL"</formula>
      <formula>"DAYCOVAL"</formula>
    </cfRule>
    <cfRule type="cellIs" dxfId="5882" priority="9313" operator="between">
      <formula>"SAFRA"</formula>
      <formula>"SAFRA"</formula>
    </cfRule>
    <cfRule type="cellIs" dxfId="5881" priority="9312" operator="between">
      <formula>"SAFRA"</formula>
      <formula>"SAFRA"</formula>
    </cfRule>
    <cfRule type="cellIs" dxfId="5880" priority="9001" operator="equal">
      <formula>"ITAÚ MATRIZ"</formula>
    </cfRule>
    <cfRule type="cellIs" dxfId="5879" priority="9310" operator="equal">
      <formula>"ITAÚ"</formula>
    </cfRule>
    <cfRule type="cellIs" dxfId="5878" priority="9309" operator="between">
      <formula>"ITAÚ MATRIZ"</formula>
      <formula>"ITAÚ MATRIZ"</formula>
    </cfRule>
    <cfRule type="cellIs" dxfId="5877" priority="9308" operator="equal">
      <formula>"ITAÚ MATRIZ"</formula>
    </cfRule>
    <cfRule type="cellIs" dxfId="5876" priority="9307" operator="equal">
      <formula>"ITAÚ"</formula>
    </cfRule>
    <cfRule type="cellIs" dxfId="5875" priority="9306" operator="between">
      <formula>"ITAÚ FILIAL"</formula>
      <formula>"ITAÚ FILIAL"</formula>
    </cfRule>
    <cfRule type="cellIs" dxfId="5874" priority="9305" operator="between">
      <formula>"ITAÚ FILIAL"</formula>
      <formula>"ITAÚ FILIAL"</formula>
    </cfRule>
    <cfRule type="cellIs" dxfId="5873" priority="9304" operator="between">
      <formula>"DAYCOVAL"</formula>
      <formula>"DAYCOVAL"</formula>
    </cfRule>
    <cfRule type="cellIs" dxfId="5872" priority="9303" operator="between">
      <formula>"SAFRA"</formula>
      <formula>"SAFRA"</formula>
    </cfRule>
    <cfRule type="cellIs" dxfId="5871" priority="9302" operator="between">
      <formula>"SAFRA"</formula>
      <formula>"SAFRA"</formula>
    </cfRule>
    <cfRule type="cellIs" dxfId="5870" priority="9301" operator="equal">
      <formula>"ITAÚ"</formula>
    </cfRule>
    <cfRule type="cellIs" dxfId="5869" priority="9300" operator="equal">
      <formula>"ITAÚ"</formula>
    </cfRule>
    <cfRule type="cellIs" dxfId="5868" priority="9299" operator="between">
      <formula>"ITAÚ MATRIZ"</formula>
      <formula>"ITAÚ MATRIZ"</formula>
    </cfRule>
    <cfRule type="cellIs" dxfId="5867" priority="9298" operator="between">
      <formula>"ITAÚ FILIAL"</formula>
      <formula>"ITAÚ FILIAL"</formula>
    </cfRule>
    <cfRule type="cellIs" dxfId="5866" priority="9297" operator="between">
      <formula>"ITAÚ FILIAL"</formula>
      <formula>"ITAÚ FILIAL"</formula>
    </cfRule>
    <cfRule type="cellIs" dxfId="5865" priority="9296" operator="between">
      <formula>"DAYCOVAL"</formula>
      <formula>"DAYCOVAL"</formula>
    </cfRule>
    <cfRule type="cellIs" dxfId="5864" priority="9295" operator="between">
      <formula>"SAFRA"</formula>
      <formula>"SAFRA"</formula>
    </cfRule>
    <cfRule type="cellIs" dxfId="5863" priority="9294" operator="between">
      <formula>"SAFRA"</formula>
      <formula>"SAFRA"</formula>
    </cfRule>
    <cfRule type="cellIs" dxfId="5862" priority="9293" operator="equal">
      <formula>"ITAÚ MATRIZ"</formula>
    </cfRule>
    <cfRule type="cellIs" dxfId="5861" priority="9292" operator="equal">
      <formula>"ITAÚ"</formula>
    </cfRule>
    <cfRule type="cellIs" dxfId="5860" priority="9291" operator="between">
      <formula>"ITAÚ MATRIZ"</formula>
      <formula>"ITAÚ MATRIZ"</formula>
    </cfRule>
    <cfRule type="cellIs" dxfId="5859" priority="9290" operator="equal">
      <formula>"ITAÚ MATRIZ"</formula>
    </cfRule>
    <cfRule type="cellIs" dxfId="5858" priority="9289" operator="equal">
      <formula>"ITAÚ"</formula>
    </cfRule>
    <cfRule type="cellIs" dxfId="5857" priority="9288" operator="between">
      <formula>"ITAÚ FILIAL"</formula>
      <formula>"ITAÚ FILIAL"</formula>
    </cfRule>
    <cfRule type="cellIs" dxfId="5856" priority="9287" operator="between">
      <formula>"ITAÚ FILIAL"</formula>
      <formula>"ITAÚ FILIAL"</formula>
    </cfRule>
    <cfRule type="cellIs" dxfId="5855" priority="9286" operator="between">
      <formula>"DAYCOVAL"</formula>
      <formula>"DAYCOVAL"</formula>
    </cfRule>
    <cfRule type="cellIs" dxfId="5854" priority="9285" operator="between">
      <formula>"SAFRA"</formula>
      <formula>"SAFRA"</formula>
    </cfRule>
    <cfRule type="cellIs" dxfId="5853" priority="9284" operator="between">
      <formula>"SAFRA"</formula>
      <formula>"SAFRA"</formula>
    </cfRule>
    <cfRule type="cellIs" dxfId="5852" priority="9283" operator="equal">
      <formula>"ITAÚ"</formula>
    </cfRule>
    <cfRule type="cellIs" dxfId="5851" priority="9282" operator="equal">
      <formula>"ITAÚ"</formula>
    </cfRule>
    <cfRule type="cellIs" dxfId="5850" priority="9281" operator="between">
      <formula>"ITAÚ MATRIZ"</formula>
      <formula>"ITAÚ MATRIZ"</formula>
    </cfRule>
    <cfRule type="cellIs" dxfId="5849" priority="9280" operator="between">
      <formula>"ITAÚ FILIAL"</formula>
      <formula>"ITAÚ FILIAL"</formula>
    </cfRule>
    <cfRule type="cellIs" dxfId="5848" priority="9279" operator="between">
      <formula>"ITAÚ FILIAL"</formula>
      <formula>"ITAÚ FILIAL"</formula>
    </cfRule>
    <cfRule type="cellIs" dxfId="5847" priority="9278" operator="between">
      <formula>"DAYCOVAL"</formula>
      <formula>"DAYCOVAL"</formula>
    </cfRule>
    <cfRule type="cellIs" dxfId="5846" priority="9277" operator="between">
      <formula>"SAFRA"</formula>
      <formula>"SAFRA"</formula>
    </cfRule>
    <cfRule type="cellIs" dxfId="5845" priority="9276" operator="between">
      <formula>"SAFRA"</formula>
      <formula>"SAFRA"</formula>
    </cfRule>
    <cfRule type="cellIs" dxfId="5844" priority="9275" operator="equal">
      <formula>"ITAÚ MATRIZ"</formula>
    </cfRule>
    <cfRule type="cellIs" dxfId="5843" priority="9274" operator="equal">
      <formula>"ITAÚ"</formula>
    </cfRule>
    <cfRule type="cellIs" dxfId="5842" priority="9273" operator="equal">
      <formula>"ITAÚ"</formula>
    </cfRule>
    <cfRule type="cellIs" dxfId="5841" priority="9272" operator="between">
      <formula>"ITAÚ MATRIZ"</formula>
      <formula>"ITAÚ MATRIZ"</formula>
    </cfRule>
    <cfRule type="cellIs" dxfId="5840" priority="9271" operator="between">
      <formula>"ITAÚ FILIAL"</formula>
      <formula>"ITAÚ FILIAL"</formula>
    </cfRule>
    <cfRule type="cellIs" dxfId="5839" priority="9270" operator="between">
      <formula>"ITAÚ FILIAL"</formula>
      <formula>"ITAÚ FILIAL"</formula>
    </cfRule>
    <cfRule type="cellIs" dxfId="5838" priority="9269" operator="between">
      <formula>"DAYCOVAL"</formula>
      <formula>"DAYCOVAL"</formula>
    </cfRule>
    <cfRule type="cellIs" dxfId="5837" priority="9268" operator="between">
      <formula>"SAFRA"</formula>
      <formula>"SAFRA"</formula>
    </cfRule>
    <cfRule type="cellIs" dxfId="5836" priority="9267" operator="between">
      <formula>"SAFRA"</formula>
      <formula>"SAFRA"</formula>
    </cfRule>
    <cfRule type="cellIs" dxfId="5835" priority="9266" operator="equal">
      <formula>"ITAÚ MATRIZ"</formula>
    </cfRule>
    <cfRule type="cellIs" dxfId="5834" priority="9265" operator="equal">
      <formula>"ITAÚ"</formula>
    </cfRule>
    <cfRule type="cellIs" dxfId="5833" priority="9264" operator="equal">
      <formula>"ITAÚ"</formula>
    </cfRule>
    <cfRule type="cellIs" dxfId="5832" priority="9263" operator="between">
      <formula>"ITAÚ MATRIZ"</formula>
      <formula>"ITAÚ MATRIZ"</formula>
    </cfRule>
    <cfRule type="cellIs" dxfId="5831" priority="9262" operator="between">
      <formula>"ITAÚ FILIAL"</formula>
      <formula>"ITAÚ FILIAL"</formula>
    </cfRule>
    <cfRule type="cellIs" dxfId="5830" priority="9261" operator="between">
      <formula>"ITAÚ FILIAL"</formula>
      <formula>"ITAÚ FILIAL"</formula>
    </cfRule>
    <cfRule type="cellIs" dxfId="5829" priority="9260" operator="between">
      <formula>"DAYCOVAL"</formula>
      <formula>"DAYCOVAL"</formula>
    </cfRule>
    <cfRule type="cellIs" dxfId="5828" priority="9259" operator="between">
      <formula>"SAFRA"</formula>
      <formula>"SAFRA"</formula>
    </cfRule>
    <cfRule type="cellIs" dxfId="5827" priority="9258" operator="between">
      <formula>"SAFRA"</formula>
      <formula>"SAFRA"</formula>
    </cfRule>
    <cfRule type="cellIs" dxfId="5826" priority="9257" operator="equal">
      <formula>"ITAÚ MATRIZ"</formula>
    </cfRule>
    <cfRule type="cellIs" dxfId="5825" priority="9256" operator="equal">
      <formula>"ITAÚ"</formula>
    </cfRule>
    <cfRule type="cellIs" dxfId="5824" priority="9255" operator="equal">
      <formula>"ITAÚ"</formula>
    </cfRule>
    <cfRule type="cellIs" dxfId="5823" priority="9254" operator="between">
      <formula>"ITAÚ MATRIZ"</formula>
      <formula>"ITAÚ MATRIZ"</formula>
    </cfRule>
    <cfRule type="cellIs" dxfId="5822" priority="9253" operator="between">
      <formula>"ITAÚ FILIAL"</formula>
      <formula>"ITAÚ FILIAL"</formula>
    </cfRule>
    <cfRule type="cellIs" dxfId="5821" priority="9252" operator="between">
      <formula>"ITAÚ FILIAL"</formula>
      <formula>"ITAÚ FILIAL"</formula>
    </cfRule>
    <cfRule type="cellIs" dxfId="5820" priority="9251" operator="between">
      <formula>"DAYCOVAL"</formula>
      <formula>"DAYCOVAL"</formula>
    </cfRule>
    <cfRule type="cellIs" dxfId="5819" priority="9250" operator="between">
      <formula>"SAFRA"</formula>
      <formula>"SAFRA"</formula>
    </cfRule>
    <cfRule type="cellIs" dxfId="5818" priority="9249" operator="between">
      <formula>"SAFRA"</formula>
      <formula>"SAFRA"</formula>
    </cfRule>
    <cfRule type="cellIs" dxfId="5817" priority="9248" operator="equal">
      <formula>"ITAÚ MATRIZ"</formula>
    </cfRule>
    <cfRule type="cellIs" dxfId="5816" priority="9247" operator="equal">
      <formula>"ITAÚ"</formula>
    </cfRule>
    <cfRule type="cellIs" dxfId="5815" priority="9246" operator="equal">
      <formula>"ITAÚ"</formula>
    </cfRule>
    <cfRule type="cellIs" dxfId="5814" priority="9245" operator="between">
      <formula>"ITAÚ MATRIZ"</formula>
      <formula>"ITAÚ MATRIZ"</formula>
    </cfRule>
    <cfRule type="cellIs" dxfId="5813" priority="9244" operator="between">
      <formula>"ITAÚ FILIAL"</formula>
      <formula>"ITAÚ FILIAL"</formula>
    </cfRule>
    <cfRule type="cellIs" dxfId="5812" priority="9243" operator="between">
      <formula>"ITAÚ FILIAL"</formula>
      <formula>"ITAÚ FILIAL"</formula>
    </cfRule>
    <cfRule type="cellIs" dxfId="5811" priority="9242" operator="between">
      <formula>"DAYCOVAL"</formula>
      <formula>"DAYCOVAL"</formula>
    </cfRule>
    <cfRule type="cellIs" dxfId="5810" priority="9241" operator="between">
      <formula>"SAFRA"</formula>
      <formula>"SAFRA"</formula>
    </cfRule>
    <cfRule type="cellIs" dxfId="5809" priority="9240" operator="between">
      <formula>"SAFRA"</formula>
      <formula>"SAFRA"</formula>
    </cfRule>
    <cfRule type="cellIs" dxfId="5808" priority="9239" operator="equal">
      <formula>"ITAÚ MATRIZ"</formula>
    </cfRule>
    <cfRule type="cellIs" dxfId="5807" priority="9238" operator="equal">
      <formula>"ITAÚ"</formula>
    </cfRule>
    <cfRule type="cellIs" dxfId="5806" priority="9237" operator="between">
      <formula>"ITAÚ MATRIZ"</formula>
      <formula>"ITAÚ MATRIZ"</formula>
    </cfRule>
    <cfRule type="cellIs" dxfId="5805" priority="9236" operator="equal">
      <formula>"ITAÚ MATRIZ"</formula>
    </cfRule>
    <cfRule type="cellIs" dxfId="5804" priority="9235" operator="equal">
      <formula>"ITAÚ"</formula>
    </cfRule>
    <cfRule type="cellIs" dxfId="5803" priority="9234" operator="between">
      <formula>"ITAÚ FILIAL"</formula>
      <formula>"ITAÚ FILIAL"</formula>
    </cfRule>
    <cfRule type="cellIs" dxfId="5802" priority="9233" operator="between">
      <formula>"ITAÚ FILIAL"</formula>
      <formula>"ITAÚ FILIAL"</formula>
    </cfRule>
    <cfRule type="cellIs" dxfId="5801" priority="9232" operator="between">
      <formula>"DAYCOVAL"</formula>
      <formula>"DAYCOVAL"</formula>
    </cfRule>
    <cfRule type="cellIs" dxfId="5800" priority="9231" operator="between">
      <formula>"SAFRA"</formula>
      <formula>"SAFRA"</formula>
    </cfRule>
    <cfRule type="cellIs" dxfId="5799" priority="9230" operator="between">
      <formula>"SAFRA"</formula>
      <formula>"SAFRA"</formula>
    </cfRule>
    <cfRule type="cellIs" dxfId="5798" priority="9229" operator="equal">
      <formula>"ITAÚ"</formula>
    </cfRule>
    <cfRule type="cellIs" dxfId="5797" priority="9228" operator="equal">
      <formula>"ITAÚ"</formula>
    </cfRule>
    <cfRule type="cellIs" dxfId="5796" priority="9227" operator="between">
      <formula>"ITAÚ MATRIZ"</formula>
      <formula>"ITAÚ MATRIZ"</formula>
    </cfRule>
    <cfRule type="cellIs" dxfId="5795" priority="9226" operator="between">
      <formula>"ITAÚ FILIAL"</formula>
      <formula>"ITAÚ FILIAL"</formula>
    </cfRule>
    <cfRule type="cellIs" dxfId="5794" priority="9225" operator="between">
      <formula>"ITAÚ FILIAL"</formula>
      <formula>"ITAÚ FILIAL"</formula>
    </cfRule>
    <cfRule type="cellIs" dxfId="5793" priority="9224" operator="between">
      <formula>"DAYCOVAL"</formula>
      <formula>"DAYCOVAL"</formula>
    </cfRule>
    <cfRule type="cellIs" dxfId="5792" priority="9223" operator="between">
      <formula>"SAFRA"</formula>
      <formula>"SAFRA"</formula>
    </cfRule>
    <cfRule type="cellIs" dxfId="5791" priority="9222" operator="between">
      <formula>"SAFRA"</formula>
      <formula>"SAFRA"</formula>
    </cfRule>
    <cfRule type="cellIs" dxfId="5790" priority="9221" operator="equal">
      <formula>"ITAÚ MATRIZ"</formula>
    </cfRule>
    <cfRule type="cellIs" dxfId="5789" priority="9220" operator="equal">
      <formula>"ITAÚ"</formula>
    </cfRule>
    <cfRule type="cellIs" dxfId="5788" priority="9219" operator="equal">
      <formula>"ITAÚ"</formula>
    </cfRule>
    <cfRule type="cellIs" dxfId="5787" priority="9218" operator="between">
      <formula>"ITAÚ MATRIZ"</formula>
      <formula>"ITAÚ MATRIZ"</formula>
    </cfRule>
    <cfRule type="cellIs" dxfId="5786" priority="9217" operator="between">
      <formula>"ITAÚ FILIAL"</formula>
      <formula>"ITAÚ FILIAL"</formula>
    </cfRule>
    <cfRule type="cellIs" dxfId="5785" priority="9311" operator="equal">
      <formula>"ITAÚ MATRIZ"</formula>
    </cfRule>
  </conditionalFormatting>
  <conditionalFormatting sqref="I97:I109 I111:I130">
    <cfRule type="cellIs" dxfId="5784" priority="8974" operator="between">
      <formula>"DAYCOVAL"</formula>
      <formula>"DAYCOVAL"</formula>
    </cfRule>
    <cfRule type="cellIs" dxfId="5783" priority="8980" operator="equal">
      <formula>"ITAÚ"</formula>
    </cfRule>
    <cfRule type="cellIs" dxfId="5782" priority="8972" operator="between">
      <formula>"SAFRA"</formula>
      <formula>"SAFRA"</formula>
    </cfRule>
    <cfRule type="cellIs" dxfId="5781" priority="8978" operator="equal">
      <formula>"ITAÚ MATRIZ"</formula>
    </cfRule>
    <cfRule type="cellIs" dxfId="5780" priority="8977" operator="equal">
      <formula>"ITAÚ"</formula>
    </cfRule>
    <cfRule type="cellIs" dxfId="5779" priority="8973" operator="between">
      <formula>"SAFRA"</formula>
      <formula>"SAFRA"</formula>
    </cfRule>
  </conditionalFormatting>
  <conditionalFormatting sqref="I106:I109 I111:I130">
    <cfRule type="cellIs" dxfId="5778" priority="8885" operator="between">
      <formula>"DAYCOVAL"</formula>
      <formula>"DAYCOVAL"</formula>
    </cfRule>
    <cfRule type="cellIs" dxfId="5777" priority="8788" operator="between">
      <formula>"ITAÚ FILIAL"</formula>
      <formula>"ITAÚ FILIAL"</formula>
    </cfRule>
    <cfRule type="cellIs" dxfId="5776" priority="8976" operator="between">
      <formula>"ITAÚ FILIAL"</formula>
      <formula>"ITAÚ FILIAL"</formula>
    </cfRule>
    <cfRule type="cellIs" dxfId="5775" priority="8787" operator="between">
      <formula>"ITAÚ FILIAL"</formula>
      <formula>"ITAÚ FILIAL"</formula>
    </cfRule>
    <cfRule type="cellIs" dxfId="5774" priority="8971" operator="equal">
      <formula>"ITAÚ"</formula>
    </cfRule>
    <cfRule type="cellIs" dxfId="5773" priority="8970" operator="between">
      <formula>"ITAÚ MATRIZ"</formula>
      <formula>"ITAÚ MATRIZ"</formula>
    </cfRule>
    <cfRule type="cellIs" dxfId="5772" priority="8969" operator="equal">
      <formula>"ITAÚ MATRIZ"</formula>
    </cfRule>
    <cfRule type="cellIs" dxfId="5771" priority="8968" operator="equal">
      <formula>"ITAÚ"</formula>
    </cfRule>
    <cfRule type="cellIs" dxfId="5770" priority="8967" operator="between">
      <formula>"ITAÚ FILIAL"</formula>
      <formula>"ITAÚ FILIAL"</formula>
    </cfRule>
    <cfRule type="cellIs" dxfId="5769" priority="8966" operator="between">
      <formula>"ITAÚ FILIAL"</formula>
      <formula>"ITAÚ FILIAL"</formula>
    </cfRule>
    <cfRule type="cellIs" dxfId="5768" priority="8965" operator="between">
      <formula>"DAYCOVAL"</formula>
      <formula>"DAYCOVAL"</formula>
    </cfRule>
    <cfRule type="cellIs" dxfId="5767" priority="8964" operator="between">
      <formula>"SAFRA"</formula>
      <formula>"SAFRA"</formula>
    </cfRule>
    <cfRule type="cellIs" dxfId="5766" priority="8963" operator="between">
      <formula>"SAFRA"</formula>
      <formula>"SAFRA"</formula>
    </cfRule>
    <cfRule type="cellIs" dxfId="5765" priority="8962" operator="equal">
      <formula>"ITAÚ"</formula>
    </cfRule>
    <cfRule type="cellIs" dxfId="5764" priority="8961" operator="equal">
      <formula>"ITAÚ"</formula>
    </cfRule>
    <cfRule type="cellIs" dxfId="5763" priority="8960" operator="between">
      <formula>"ITAÚ MATRIZ"</formula>
      <formula>"ITAÚ MATRIZ"</formula>
    </cfRule>
    <cfRule type="cellIs" dxfId="5762" priority="8959" operator="between">
      <formula>"ITAÚ FILIAL"</formula>
      <formula>"ITAÚ FILIAL"</formula>
    </cfRule>
    <cfRule type="cellIs" dxfId="5761" priority="8958" operator="between">
      <formula>"ITAÚ FILIAL"</formula>
      <formula>"ITAÚ FILIAL"</formula>
    </cfRule>
    <cfRule type="cellIs" dxfId="5760" priority="8957" operator="between">
      <formula>"DAYCOVAL"</formula>
      <formula>"DAYCOVAL"</formula>
    </cfRule>
    <cfRule type="cellIs" dxfId="5759" priority="8956" operator="between">
      <formula>"SAFRA"</formula>
      <formula>"SAFRA"</formula>
    </cfRule>
    <cfRule type="cellIs" dxfId="5758" priority="8955" operator="between">
      <formula>"SAFRA"</formula>
      <formula>"SAFRA"</formula>
    </cfRule>
    <cfRule type="cellIs" dxfId="5757" priority="8954" operator="equal">
      <formula>"ITAÚ MATRIZ"</formula>
    </cfRule>
    <cfRule type="cellIs" dxfId="5756" priority="8953" operator="equal">
      <formula>"ITAÚ"</formula>
    </cfRule>
    <cfRule type="cellIs" dxfId="5755" priority="8952" operator="between">
      <formula>"ITAÚ MATRIZ"</formula>
      <formula>"ITAÚ MATRIZ"</formula>
    </cfRule>
    <cfRule type="cellIs" dxfId="5754" priority="8951" operator="equal">
      <formula>"ITAÚ MATRIZ"</formula>
    </cfRule>
    <cfRule type="cellIs" dxfId="5753" priority="8950" operator="equal">
      <formula>"ITAÚ"</formula>
    </cfRule>
    <cfRule type="cellIs" dxfId="5752" priority="8949" operator="between">
      <formula>"ITAÚ FILIAL"</formula>
      <formula>"ITAÚ FILIAL"</formula>
    </cfRule>
    <cfRule type="cellIs" dxfId="5751" priority="8948" operator="between">
      <formula>"ITAÚ FILIAL"</formula>
      <formula>"ITAÚ FILIAL"</formula>
    </cfRule>
    <cfRule type="cellIs" dxfId="5750" priority="8947" operator="between">
      <formula>"DAYCOVAL"</formula>
      <formula>"DAYCOVAL"</formula>
    </cfRule>
    <cfRule type="cellIs" dxfId="5749" priority="8946" operator="between">
      <formula>"SAFRA"</formula>
      <formula>"SAFRA"</formula>
    </cfRule>
    <cfRule type="cellIs" dxfId="5748" priority="8945" operator="between">
      <formula>"SAFRA"</formula>
      <formula>"SAFRA"</formula>
    </cfRule>
    <cfRule type="cellIs" dxfId="5747" priority="8944" operator="equal">
      <formula>"ITAÚ"</formula>
    </cfRule>
    <cfRule type="cellIs" dxfId="5746" priority="8943" operator="equal">
      <formula>"ITAÚ"</formula>
    </cfRule>
    <cfRule type="cellIs" dxfId="5745" priority="8942" operator="between">
      <formula>"ITAÚ MATRIZ"</formula>
      <formula>"ITAÚ MATRIZ"</formula>
    </cfRule>
    <cfRule type="cellIs" dxfId="5744" priority="8941" operator="between">
      <formula>"ITAÚ FILIAL"</formula>
      <formula>"ITAÚ FILIAL"</formula>
    </cfRule>
    <cfRule type="cellIs" dxfId="5743" priority="8940" operator="between">
      <formula>"ITAÚ FILIAL"</formula>
      <formula>"ITAÚ FILIAL"</formula>
    </cfRule>
    <cfRule type="cellIs" dxfId="5742" priority="8939" operator="between">
      <formula>"DAYCOVAL"</formula>
      <formula>"DAYCOVAL"</formula>
    </cfRule>
    <cfRule type="cellIs" dxfId="5741" priority="8938" operator="between">
      <formula>"SAFRA"</formula>
      <formula>"SAFRA"</formula>
    </cfRule>
    <cfRule type="cellIs" dxfId="5740" priority="8937" operator="between">
      <formula>"SAFRA"</formula>
      <formula>"SAFRA"</formula>
    </cfRule>
    <cfRule type="cellIs" dxfId="5739" priority="8936" operator="equal">
      <formula>"ITAÚ MATRIZ"</formula>
    </cfRule>
    <cfRule type="cellIs" dxfId="5738" priority="8935" operator="equal">
      <formula>"ITAÚ"</formula>
    </cfRule>
    <cfRule type="cellIs" dxfId="5737" priority="8934" operator="between">
      <formula>"ITAÚ MATRIZ"</formula>
      <formula>"ITAÚ MATRIZ"</formula>
    </cfRule>
    <cfRule type="cellIs" dxfId="5736" priority="8933" operator="equal">
      <formula>"ITAÚ MATRIZ"</formula>
    </cfRule>
    <cfRule type="cellIs" dxfId="5735" priority="8932" operator="equal">
      <formula>"ITAÚ"</formula>
    </cfRule>
    <cfRule type="cellIs" dxfId="5734" priority="8931" operator="between">
      <formula>"ITAÚ FILIAL"</formula>
      <formula>"ITAÚ FILIAL"</formula>
    </cfRule>
    <cfRule type="cellIs" dxfId="5733" priority="8930" operator="between">
      <formula>"ITAÚ FILIAL"</formula>
      <formula>"ITAÚ FILIAL"</formula>
    </cfRule>
    <cfRule type="cellIs" dxfId="5732" priority="8929" operator="between">
      <formula>"DAYCOVAL"</formula>
      <formula>"DAYCOVAL"</formula>
    </cfRule>
    <cfRule type="cellIs" dxfId="5731" priority="8928" operator="between">
      <formula>"SAFRA"</formula>
      <formula>"SAFRA"</formula>
    </cfRule>
    <cfRule type="cellIs" dxfId="5730" priority="8927" operator="between">
      <formula>"SAFRA"</formula>
      <formula>"SAFRA"</formula>
    </cfRule>
    <cfRule type="cellIs" dxfId="5729" priority="8926" operator="equal">
      <formula>"ITAÚ"</formula>
    </cfRule>
    <cfRule type="cellIs" dxfId="5728" priority="8925" operator="equal">
      <formula>"ITAÚ"</formula>
    </cfRule>
    <cfRule type="cellIs" dxfId="5727" priority="8924" operator="between">
      <formula>"ITAÚ MATRIZ"</formula>
      <formula>"ITAÚ MATRIZ"</formula>
    </cfRule>
    <cfRule type="cellIs" dxfId="5726" priority="8923" operator="between">
      <formula>"ITAÚ FILIAL"</formula>
      <formula>"ITAÚ FILIAL"</formula>
    </cfRule>
    <cfRule type="cellIs" dxfId="5725" priority="8922" operator="between">
      <formula>"ITAÚ FILIAL"</formula>
      <formula>"ITAÚ FILIAL"</formula>
    </cfRule>
    <cfRule type="cellIs" dxfId="5724" priority="8921" operator="between">
      <formula>"DAYCOVAL"</formula>
      <formula>"DAYCOVAL"</formula>
    </cfRule>
    <cfRule type="cellIs" dxfId="5723" priority="8920" operator="between">
      <formula>"SAFRA"</formula>
      <formula>"SAFRA"</formula>
    </cfRule>
    <cfRule type="cellIs" dxfId="5722" priority="8919" operator="between">
      <formula>"SAFRA"</formula>
      <formula>"SAFRA"</formula>
    </cfRule>
    <cfRule type="cellIs" dxfId="5721" priority="8918" operator="equal">
      <formula>"ITAÚ MATRIZ"</formula>
    </cfRule>
    <cfRule type="cellIs" dxfId="5720" priority="8917" operator="equal">
      <formula>"ITAÚ"</formula>
    </cfRule>
    <cfRule type="cellIs" dxfId="5719" priority="8916" operator="equal">
      <formula>"ITAÚ"</formula>
    </cfRule>
    <cfRule type="cellIs" dxfId="5718" priority="8915" operator="between">
      <formula>"ITAÚ MATRIZ"</formula>
      <formula>"ITAÚ MATRIZ"</formula>
    </cfRule>
    <cfRule type="cellIs" dxfId="5717" priority="8914" operator="between">
      <formula>"ITAÚ FILIAL"</formula>
      <formula>"ITAÚ FILIAL"</formula>
    </cfRule>
    <cfRule type="cellIs" dxfId="5716" priority="8913" operator="between">
      <formula>"ITAÚ FILIAL"</formula>
      <formula>"ITAÚ FILIAL"</formula>
    </cfRule>
    <cfRule type="cellIs" dxfId="5715" priority="8912" operator="between">
      <formula>"DAYCOVAL"</formula>
      <formula>"DAYCOVAL"</formula>
    </cfRule>
    <cfRule type="cellIs" dxfId="5714" priority="8911" operator="between">
      <formula>"SAFRA"</formula>
      <formula>"SAFRA"</formula>
    </cfRule>
    <cfRule type="cellIs" dxfId="5713" priority="8910" operator="between">
      <formula>"SAFRA"</formula>
      <formula>"SAFRA"</formula>
    </cfRule>
    <cfRule type="cellIs" dxfId="5712" priority="8909" operator="equal">
      <formula>"ITAÚ MATRIZ"</formula>
    </cfRule>
    <cfRule type="cellIs" dxfId="5711" priority="8908" operator="equal">
      <formula>"ITAÚ"</formula>
    </cfRule>
    <cfRule type="cellIs" dxfId="5710" priority="8907" operator="equal">
      <formula>"ITAÚ"</formula>
    </cfRule>
    <cfRule type="cellIs" dxfId="5709" priority="8906" operator="between">
      <formula>"ITAÚ MATRIZ"</formula>
      <formula>"ITAÚ MATRIZ"</formula>
    </cfRule>
    <cfRule type="cellIs" dxfId="5708" priority="8905" operator="between">
      <formula>"ITAÚ FILIAL"</formula>
      <formula>"ITAÚ FILIAL"</formula>
    </cfRule>
    <cfRule type="cellIs" dxfId="5707" priority="8904" operator="between">
      <formula>"ITAÚ FILIAL"</formula>
      <formula>"ITAÚ FILIAL"</formula>
    </cfRule>
    <cfRule type="cellIs" dxfId="5706" priority="8903" operator="between">
      <formula>"DAYCOVAL"</formula>
      <formula>"DAYCOVAL"</formula>
    </cfRule>
    <cfRule type="cellIs" dxfId="5705" priority="8902" operator="between">
      <formula>"SAFRA"</formula>
      <formula>"SAFRA"</formula>
    </cfRule>
    <cfRule type="cellIs" dxfId="5704" priority="8901" operator="between">
      <formula>"SAFRA"</formula>
      <formula>"SAFRA"</formula>
    </cfRule>
    <cfRule type="cellIs" dxfId="5703" priority="8900" operator="equal">
      <formula>"ITAÚ MATRIZ"</formula>
    </cfRule>
    <cfRule type="cellIs" dxfId="5702" priority="8899" operator="equal">
      <formula>"ITAÚ"</formula>
    </cfRule>
    <cfRule type="cellIs" dxfId="5701" priority="8898" operator="equal">
      <formula>"ITAÚ"</formula>
    </cfRule>
    <cfRule type="cellIs" dxfId="5700" priority="8897" operator="between">
      <formula>"ITAÚ MATRIZ"</formula>
      <formula>"ITAÚ MATRIZ"</formula>
    </cfRule>
    <cfRule type="cellIs" dxfId="5699" priority="8896" operator="between">
      <formula>"ITAÚ FILIAL"</formula>
      <formula>"ITAÚ FILIAL"</formula>
    </cfRule>
    <cfRule type="cellIs" dxfId="5698" priority="8895" operator="between">
      <formula>"ITAÚ FILIAL"</formula>
      <formula>"ITAÚ FILIAL"</formula>
    </cfRule>
    <cfRule type="cellIs" dxfId="5697" priority="8894" operator="between">
      <formula>"DAYCOVAL"</formula>
      <formula>"DAYCOVAL"</formula>
    </cfRule>
    <cfRule type="cellIs" dxfId="5696" priority="8893" operator="between">
      <formula>"SAFRA"</formula>
      <formula>"SAFRA"</formula>
    </cfRule>
    <cfRule type="cellIs" dxfId="5695" priority="8892" operator="between">
      <formula>"SAFRA"</formula>
      <formula>"SAFRA"</formula>
    </cfRule>
    <cfRule type="cellIs" dxfId="5694" priority="8891" operator="equal">
      <formula>"ITAÚ MATRIZ"</formula>
    </cfRule>
    <cfRule type="cellIs" dxfId="5693" priority="8890" operator="equal">
      <formula>"ITAÚ"</formula>
    </cfRule>
    <cfRule type="cellIs" dxfId="5692" priority="8889" operator="equal">
      <formula>"ITAÚ"</formula>
    </cfRule>
    <cfRule type="cellIs" dxfId="5691" priority="8888" operator="between">
      <formula>"ITAÚ MATRIZ"</formula>
      <formula>"ITAÚ MATRIZ"</formula>
    </cfRule>
    <cfRule type="cellIs" dxfId="5690" priority="8887" operator="between">
      <formula>"ITAÚ FILIAL"</formula>
      <formula>"ITAÚ FILIAL"</formula>
    </cfRule>
    <cfRule type="cellIs" dxfId="5689" priority="8886" operator="between">
      <formula>"ITAÚ FILIAL"</formula>
      <formula>"ITAÚ FILIAL"</formula>
    </cfRule>
    <cfRule type="cellIs" dxfId="5688" priority="8979" operator="between">
      <formula>"ITAÚ MATRIZ"</formula>
      <formula>"ITAÚ MATRIZ"</formula>
    </cfRule>
    <cfRule type="cellIs" dxfId="5687" priority="8884" operator="between">
      <formula>"SAFRA"</formula>
      <formula>"SAFRA"</formula>
    </cfRule>
    <cfRule type="cellIs" dxfId="5686" priority="8883" operator="between">
      <formula>"SAFRA"</formula>
      <formula>"SAFRA"</formula>
    </cfRule>
    <cfRule type="cellIs" dxfId="5685" priority="8975" operator="between">
      <formula>"ITAÚ FILIAL"</formula>
      <formula>"ITAÚ FILIAL"</formula>
    </cfRule>
    <cfRule type="cellIs" dxfId="5684" priority="8881" operator="equal">
      <formula>"ITAÚ"</formula>
    </cfRule>
    <cfRule type="cellIs" dxfId="5683" priority="8880" operator="between">
      <formula>"ITAÚ MATRIZ"</formula>
      <formula>"ITAÚ MATRIZ"</formula>
    </cfRule>
    <cfRule type="cellIs" dxfId="5682" priority="8879" operator="equal">
      <formula>"ITAÚ MATRIZ"</formula>
    </cfRule>
    <cfRule type="cellIs" dxfId="5681" priority="8878" operator="equal">
      <formula>"ITAÚ"</formula>
    </cfRule>
    <cfRule type="cellIs" dxfId="5680" priority="8877" operator="between">
      <formula>"ITAÚ FILIAL"</formula>
      <formula>"ITAÚ FILIAL"</formula>
    </cfRule>
    <cfRule type="cellIs" dxfId="5679" priority="8876" operator="between">
      <formula>"ITAÚ FILIAL"</formula>
      <formula>"ITAÚ FILIAL"</formula>
    </cfRule>
    <cfRule type="cellIs" dxfId="5678" priority="8875" operator="between">
      <formula>"DAYCOVAL"</formula>
      <formula>"DAYCOVAL"</formula>
    </cfRule>
    <cfRule type="cellIs" dxfId="5677" priority="8874" operator="between">
      <formula>"SAFRA"</formula>
      <formula>"SAFRA"</formula>
    </cfRule>
    <cfRule type="cellIs" dxfId="5676" priority="8873" operator="between">
      <formula>"SAFRA"</formula>
      <formula>"SAFRA"</formula>
    </cfRule>
    <cfRule type="cellIs" dxfId="5675" priority="8872" operator="equal">
      <formula>"ITAÚ"</formula>
    </cfRule>
    <cfRule type="cellIs" dxfId="5674" priority="8871" operator="equal">
      <formula>"ITAÚ"</formula>
    </cfRule>
    <cfRule type="cellIs" dxfId="5673" priority="8870" operator="between">
      <formula>"ITAÚ MATRIZ"</formula>
      <formula>"ITAÚ MATRIZ"</formula>
    </cfRule>
    <cfRule type="cellIs" dxfId="5672" priority="8869" operator="between">
      <formula>"ITAÚ FILIAL"</formula>
      <formula>"ITAÚ FILIAL"</formula>
    </cfRule>
    <cfRule type="cellIs" dxfId="5671" priority="8868" operator="between">
      <formula>"ITAÚ FILIAL"</formula>
      <formula>"ITAÚ FILIAL"</formula>
    </cfRule>
    <cfRule type="cellIs" dxfId="5670" priority="8867" operator="between">
      <formula>"DAYCOVAL"</formula>
      <formula>"DAYCOVAL"</formula>
    </cfRule>
    <cfRule type="cellIs" dxfId="5669" priority="8866" operator="between">
      <formula>"SAFRA"</formula>
      <formula>"SAFRA"</formula>
    </cfRule>
    <cfRule type="cellIs" dxfId="5668" priority="8865" operator="between">
      <formula>"SAFRA"</formula>
      <formula>"SAFRA"</formula>
    </cfRule>
    <cfRule type="cellIs" dxfId="5667" priority="8864" operator="equal">
      <formula>"ITAÚ MATRIZ"</formula>
    </cfRule>
    <cfRule type="cellIs" dxfId="5666" priority="8863" operator="equal">
      <formula>"ITAÚ"</formula>
    </cfRule>
    <cfRule type="cellIs" dxfId="5665" priority="8862" operator="between">
      <formula>"ITAÚ MATRIZ"</formula>
      <formula>"ITAÚ MATRIZ"</formula>
    </cfRule>
    <cfRule type="cellIs" dxfId="5664" priority="8861" operator="equal">
      <formula>"ITAÚ MATRIZ"</formula>
    </cfRule>
    <cfRule type="cellIs" dxfId="5663" priority="8860" operator="equal">
      <formula>"ITAÚ"</formula>
    </cfRule>
    <cfRule type="cellIs" dxfId="5662" priority="8859" operator="between">
      <formula>"ITAÚ FILIAL"</formula>
      <formula>"ITAÚ FILIAL"</formula>
    </cfRule>
    <cfRule type="cellIs" dxfId="5661" priority="8858" operator="between">
      <formula>"ITAÚ FILIAL"</formula>
      <formula>"ITAÚ FILIAL"</formula>
    </cfRule>
    <cfRule type="cellIs" dxfId="5660" priority="8857" operator="between">
      <formula>"DAYCOVAL"</formula>
      <formula>"DAYCOVAL"</formula>
    </cfRule>
    <cfRule type="cellIs" dxfId="5659" priority="8856" operator="between">
      <formula>"SAFRA"</formula>
      <formula>"SAFRA"</formula>
    </cfRule>
    <cfRule type="cellIs" dxfId="5658" priority="8855" operator="between">
      <formula>"SAFRA"</formula>
      <formula>"SAFRA"</formula>
    </cfRule>
    <cfRule type="cellIs" dxfId="5657" priority="8854" operator="equal">
      <formula>"ITAÚ"</formula>
    </cfRule>
    <cfRule type="cellIs" dxfId="5656" priority="8853" operator="equal">
      <formula>"ITAÚ"</formula>
    </cfRule>
    <cfRule type="cellIs" dxfId="5655" priority="8852" operator="between">
      <formula>"ITAÚ MATRIZ"</formula>
      <formula>"ITAÚ MATRIZ"</formula>
    </cfRule>
    <cfRule type="cellIs" dxfId="5654" priority="8851" operator="between">
      <formula>"ITAÚ FILIAL"</formula>
      <formula>"ITAÚ FILIAL"</formula>
    </cfRule>
    <cfRule type="cellIs" dxfId="5653" priority="8850" operator="between">
      <formula>"ITAÚ FILIAL"</formula>
      <formula>"ITAÚ FILIAL"</formula>
    </cfRule>
    <cfRule type="cellIs" dxfId="5652" priority="8849" operator="between">
      <formula>"DAYCOVAL"</formula>
      <formula>"DAYCOVAL"</formula>
    </cfRule>
    <cfRule type="cellIs" dxfId="5651" priority="8848" operator="between">
      <formula>"SAFRA"</formula>
      <formula>"SAFRA"</formula>
    </cfRule>
    <cfRule type="cellIs" dxfId="5650" priority="8847" operator="between">
      <formula>"SAFRA"</formula>
      <formula>"SAFRA"</formula>
    </cfRule>
    <cfRule type="cellIs" dxfId="5649" priority="8846" operator="equal">
      <formula>"ITAÚ MATRIZ"</formula>
    </cfRule>
    <cfRule type="cellIs" dxfId="5648" priority="8845" operator="equal">
      <formula>"ITAÚ"</formula>
    </cfRule>
    <cfRule type="cellIs" dxfId="5647" priority="8844" operator="equal">
      <formula>"ITAÚ"</formula>
    </cfRule>
    <cfRule type="cellIs" dxfId="5646" priority="8843" operator="between">
      <formula>"ITAÚ MATRIZ"</formula>
      <formula>"ITAÚ MATRIZ"</formula>
    </cfRule>
    <cfRule type="cellIs" dxfId="5645" priority="8842" operator="between">
      <formula>"ITAÚ FILIAL"</formula>
      <formula>"ITAÚ FILIAL"</formula>
    </cfRule>
    <cfRule type="cellIs" dxfId="5644" priority="8841" operator="between">
      <formula>"ITAÚ FILIAL"</formula>
      <formula>"ITAÚ FILIAL"</formula>
    </cfRule>
    <cfRule type="cellIs" dxfId="5643" priority="8840" operator="between">
      <formula>"DAYCOVAL"</formula>
      <formula>"DAYCOVAL"</formula>
    </cfRule>
    <cfRule type="cellIs" dxfId="5642" priority="8839" operator="between">
      <formula>"SAFRA"</formula>
      <formula>"SAFRA"</formula>
    </cfRule>
    <cfRule type="cellIs" dxfId="5641" priority="8838" operator="between">
      <formula>"SAFRA"</formula>
      <formula>"SAFRA"</formula>
    </cfRule>
    <cfRule type="cellIs" dxfId="5640" priority="8837" operator="equal">
      <formula>"ITAÚ MATRIZ"</formula>
    </cfRule>
    <cfRule type="cellIs" dxfId="5639" priority="8836" operator="equal">
      <formula>"ITAÚ"</formula>
    </cfRule>
    <cfRule type="cellIs" dxfId="5638" priority="8835" operator="equal">
      <formula>"ITAÚ"</formula>
    </cfRule>
    <cfRule type="cellIs" dxfId="5637" priority="8834" operator="between">
      <formula>"ITAÚ MATRIZ"</formula>
      <formula>"ITAÚ MATRIZ"</formula>
    </cfRule>
    <cfRule type="cellIs" dxfId="5636" priority="8833" operator="between">
      <formula>"ITAÚ FILIAL"</formula>
      <formula>"ITAÚ FILIAL"</formula>
    </cfRule>
    <cfRule type="cellIs" dxfId="5635" priority="8832" operator="between">
      <formula>"ITAÚ FILIAL"</formula>
      <formula>"ITAÚ FILIAL"</formula>
    </cfRule>
    <cfRule type="cellIs" dxfId="5634" priority="8831" operator="between">
      <formula>"DAYCOVAL"</formula>
      <formula>"DAYCOVAL"</formula>
    </cfRule>
    <cfRule type="cellIs" dxfId="5633" priority="8830" operator="between">
      <formula>"SAFRA"</formula>
      <formula>"SAFRA"</formula>
    </cfRule>
    <cfRule type="cellIs" dxfId="5632" priority="8829" operator="between">
      <formula>"SAFRA"</formula>
      <formula>"SAFRA"</formula>
    </cfRule>
    <cfRule type="cellIs" dxfId="5631" priority="8828" operator="equal">
      <formula>"ITAÚ MATRIZ"</formula>
    </cfRule>
    <cfRule type="cellIs" dxfId="5630" priority="8827" operator="equal">
      <formula>"ITAÚ"</formula>
    </cfRule>
    <cfRule type="cellIs" dxfId="5629" priority="8826" operator="equal">
      <formula>"ITAÚ"</formula>
    </cfRule>
    <cfRule type="cellIs" dxfId="5628" priority="8825" operator="between">
      <formula>"ITAÚ MATRIZ"</formula>
      <formula>"ITAÚ MATRIZ"</formula>
    </cfRule>
    <cfRule type="cellIs" dxfId="5627" priority="8824" operator="between">
      <formula>"ITAÚ FILIAL"</formula>
      <formula>"ITAÚ FILIAL"</formula>
    </cfRule>
    <cfRule type="cellIs" dxfId="5626" priority="8823" operator="between">
      <formula>"ITAÚ FILIAL"</formula>
      <formula>"ITAÚ FILIAL"</formula>
    </cfRule>
    <cfRule type="cellIs" dxfId="5625" priority="8822" operator="between">
      <formula>"DAYCOVAL"</formula>
      <formula>"DAYCOVAL"</formula>
    </cfRule>
    <cfRule type="cellIs" dxfId="5624" priority="8821" operator="between">
      <formula>"SAFRA"</formula>
      <formula>"SAFRA"</formula>
    </cfRule>
    <cfRule type="cellIs" dxfId="5623" priority="8820" operator="between">
      <formula>"SAFRA"</formula>
      <formula>"SAFRA"</formula>
    </cfRule>
    <cfRule type="cellIs" dxfId="5622" priority="8819" operator="equal">
      <formula>"ITAÚ MATRIZ"</formula>
    </cfRule>
    <cfRule type="cellIs" dxfId="5621" priority="8818" operator="equal">
      <formula>"ITAÚ"</formula>
    </cfRule>
    <cfRule type="cellIs" dxfId="5620" priority="8817" operator="equal">
      <formula>"ITAÚ"</formula>
    </cfRule>
    <cfRule type="cellIs" dxfId="5619" priority="8816" operator="between">
      <formula>"ITAÚ MATRIZ"</formula>
      <formula>"ITAÚ MATRIZ"</formula>
    </cfRule>
    <cfRule type="cellIs" dxfId="5618" priority="8815" operator="between">
      <formula>"ITAÚ FILIAL"</formula>
      <formula>"ITAÚ FILIAL"</formula>
    </cfRule>
    <cfRule type="cellIs" dxfId="5617" priority="8814" operator="between">
      <formula>"ITAÚ FILIAL"</formula>
      <formula>"ITAÚ FILIAL"</formula>
    </cfRule>
    <cfRule type="cellIs" dxfId="5616" priority="8813" operator="between">
      <formula>"DAYCOVAL"</formula>
      <formula>"DAYCOVAL"</formula>
    </cfRule>
    <cfRule type="cellIs" dxfId="5615" priority="8812" operator="between">
      <formula>"SAFRA"</formula>
      <formula>"SAFRA"</formula>
    </cfRule>
    <cfRule type="cellIs" dxfId="5614" priority="8811" operator="between">
      <formula>"SAFRA"</formula>
      <formula>"SAFRA"</formula>
    </cfRule>
    <cfRule type="cellIs" dxfId="5613" priority="8810" operator="equal">
      <formula>"ITAÚ MATRIZ"</formula>
    </cfRule>
    <cfRule type="cellIs" dxfId="5612" priority="8809" operator="equal">
      <formula>"ITAÚ"</formula>
    </cfRule>
    <cfRule type="cellIs" dxfId="5611" priority="8808" operator="between">
      <formula>"ITAÚ MATRIZ"</formula>
      <formula>"ITAÚ MATRIZ"</formula>
    </cfRule>
    <cfRule type="cellIs" dxfId="5610" priority="8807" operator="equal">
      <formula>"ITAÚ MATRIZ"</formula>
    </cfRule>
    <cfRule type="cellIs" dxfId="5609" priority="8806" operator="equal">
      <formula>"ITAÚ"</formula>
    </cfRule>
    <cfRule type="cellIs" dxfId="5608" priority="8805" operator="between">
      <formula>"ITAÚ FILIAL"</formula>
      <formula>"ITAÚ FILIAL"</formula>
    </cfRule>
    <cfRule type="cellIs" dxfId="5607" priority="8804" operator="between">
      <formula>"ITAÚ FILIAL"</formula>
      <formula>"ITAÚ FILIAL"</formula>
    </cfRule>
    <cfRule type="cellIs" dxfId="5606" priority="8803" operator="between">
      <formula>"DAYCOVAL"</formula>
      <formula>"DAYCOVAL"</formula>
    </cfRule>
    <cfRule type="cellIs" dxfId="5605" priority="8802" operator="between">
      <formula>"SAFRA"</formula>
      <formula>"SAFRA"</formula>
    </cfRule>
    <cfRule type="cellIs" dxfId="5604" priority="8801" operator="between">
      <formula>"SAFRA"</formula>
      <formula>"SAFRA"</formula>
    </cfRule>
    <cfRule type="cellIs" dxfId="5603" priority="8800" operator="equal">
      <formula>"ITAÚ"</formula>
    </cfRule>
    <cfRule type="cellIs" dxfId="5602" priority="8799" operator="equal">
      <formula>"ITAÚ"</formula>
    </cfRule>
    <cfRule type="cellIs" dxfId="5601" priority="8798" operator="between">
      <formula>"ITAÚ MATRIZ"</formula>
      <formula>"ITAÚ MATRIZ"</formula>
    </cfRule>
    <cfRule type="cellIs" dxfId="5600" priority="8797" operator="between">
      <formula>"ITAÚ FILIAL"</formula>
      <formula>"ITAÚ FILIAL"</formula>
    </cfRule>
    <cfRule type="cellIs" dxfId="5599" priority="8796" operator="between">
      <formula>"ITAÚ FILIAL"</formula>
      <formula>"ITAÚ FILIAL"</formula>
    </cfRule>
    <cfRule type="cellIs" dxfId="5598" priority="8795" operator="between">
      <formula>"DAYCOVAL"</formula>
      <formula>"DAYCOVAL"</formula>
    </cfRule>
    <cfRule type="cellIs" dxfId="5597" priority="8794" operator="between">
      <formula>"SAFRA"</formula>
      <formula>"SAFRA"</formula>
    </cfRule>
    <cfRule type="cellIs" dxfId="5596" priority="8793" operator="between">
      <formula>"SAFRA"</formula>
      <formula>"SAFRA"</formula>
    </cfRule>
    <cfRule type="cellIs" dxfId="5595" priority="8792" operator="equal">
      <formula>"ITAÚ MATRIZ"</formula>
    </cfRule>
    <cfRule type="cellIs" dxfId="5594" priority="8789" operator="between">
      <formula>"ITAÚ MATRIZ"</formula>
      <formula>"ITAÚ MATRIZ"</formula>
    </cfRule>
    <cfRule type="cellIs" dxfId="5593" priority="8882" operator="equal">
      <formula>"ITAÚ MATRIZ"</formula>
    </cfRule>
  </conditionalFormatting>
  <conditionalFormatting sqref="I106:I130">
    <cfRule type="cellIs" dxfId="5592" priority="8760" operator="equal">
      <formula>"ITAÚ"</formula>
    </cfRule>
    <cfRule type="cellIs" dxfId="5591" priority="8758" operator="equal">
      <formula>"ITAÚ MATRIZ"</formula>
    </cfRule>
    <cfRule type="cellIs" dxfId="5590" priority="8753" operator="between">
      <formula>"SAFRA"</formula>
      <formula>"SAFRA"</formula>
    </cfRule>
    <cfRule type="cellIs" dxfId="5589" priority="8754" operator="between">
      <formula>"DAYCOVAL"</formula>
      <formula>"DAYCOVAL"</formula>
    </cfRule>
    <cfRule type="cellIs" dxfId="5588" priority="8752" operator="between">
      <formula>"SAFRA"</formula>
      <formula>"SAFRA"</formula>
    </cfRule>
    <cfRule type="cellIs" dxfId="5587" priority="8757" operator="equal">
      <formula>"ITAÚ"</formula>
    </cfRule>
  </conditionalFormatting>
  <conditionalFormatting sqref="I110">
    <cfRule type="cellIs" dxfId="5586" priority="8658" operator="equal">
      <formula>"ITAÚ"</formula>
    </cfRule>
    <cfRule type="cellIs" dxfId="5585" priority="8759" operator="between">
      <formula>"ITAÚ MATRIZ"</formula>
      <formula>"ITAÚ MATRIZ"</formula>
    </cfRule>
    <cfRule type="cellIs" dxfId="5584" priority="8567" operator="between">
      <formula>"ITAÚ FILIAL"</formula>
      <formula>"ITAÚ FILIAL"</formula>
    </cfRule>
    <cfRule type="cellIs" dxfId="5583" priority="8568" operator="between">
      <formula>"ITAÚ FILIAL"</formula>
      <formula>"ITAÚ FILIAL"</formula>
    </cfRule>
    <cfRule type="cellIs" dxfId="5582" priority="8569" operator="between">
      <formula>"ITAÚ MATRIZ"</formula>
      <formula>"ITAÚ MATRIZ"</formula>
    </cfRule>
    <cfRule type="cellIs" dxfId="5581" priority="8570" operator="equal">
      <formula>"ITAÚ"</formula>
    </cfRule>
    <cfRule type="cellIs" dxfId="5580" priority="8571" operator="equal">
      <formula>"ITAÚ"</formula>
    </cfRule>
    <cfRule type="cellIs" dxfId="5579" priority="8572" operator="equal">
      <formula>"ITAÚ MATRIZ"</formula>
    </cfRule>
    <cfRule type="cellIs" dxfId="5578" priority="8573" operator="between">
      <formula>"SAFRA"</formula>
      <formula>"SAFRA"</formula>
    </cfRule>
    <cfRule type="cellIs" dxfId="5577" priority="8574" operator="between">
      <formula>"SAFRA"</formula>
      <formula>"SAFRA"</formula>
    </cfRule>
    <cfRule type="cellIs" dxfId="5576" priority="8575" operator="between">
      <formula>"DAYCOVAL"</formula>
      <formula>"DAYCOVAL"</formula>
    </cfRule>
    <cfRule type="cellIs" dxfId="5575" priority="8576" operator="between">
      <formula>"ITAÚ FILIAL"</formula>
      <formula>"ITAÚ FILIAL"</formula>
    </cfRule>
    <cfRule type="cellIs" dxfId="5574" priority="8577" operator="between">
      <formula>"ITAÚ FILIAL"</formula>
      <formula>"ITAÚ FILIAL"</formula>
    </cfRule>
    <cfRule type="cellIs" dxfId="5573" priority="8578" operator="between">
      <formula>"ITAÚ MATRIZ"</formula>
      <formula>"ITAÚ MATRIZ"</formula>
    </cfRule>
    <cfRule type="cellIs" dxfId="5572" priority="8579" operator="equal">
      <formula>"ITAÚ"</formula>
    </cfRule>
    <cfRule type="cellIs" dxfId="5571" priority="8580" operator="equal">
      <formula>"ITAÚ"</formula>
    </cfRule>
    <cfRule type="cellIs" dxfId="5570" priority="8581" operator="between">
      <formula>"SAFRA"</formula>
      <formula>"SAFRA"</formula>
    </cfRule>
    <cfRule type="cellIs" dxfId="5569" priority="8582" operator="between">
      <formula>"SAFRA"</formula>
      <formula>"SAFRA"</formula>
    </cfRule>
    <cfRule type="cellIs" dxfId="5568" priority="8583" operator="between">
      <formula>"DAYCOVAL"</formula>
      <formula>"DAYCOVAL"</formula>
    </cfRule>
    <cfRule type="cellIs" dxfId="5567" priority="8584" operator="between">
      <formula>"ITAÚ FILIAL"</formula>
      <formula>"ITAÚ FILIAL"</formula>
    </cfRule>
    <cfRule type="cellIs" dxfId="5566" priority="8585" operator="between">
      <formula>"ITAÚ FILIAL"</formula>
      <formula>"ITAÚ FILIAL"</formula>
    </cfRule>
    <cfRule type="cellIs" dxfId="5565" priority="8586" operator="equal">
      <formula>"ITAÚ"</formula>
    </cfRule>
    <cfRule type="cellIs" dxfId="5564" priority="8587" operator="equal">
      <formula>"ITAÚ MATRIZ"</formula>
    </cfRule>
    <cfRule type="cellIs" dxfId="5563" priority="8588" operator="between">
      <formula>"ITAÚ MATRIZ"</formula>
      <formula>"ITAÚ MATRIZ"</formula>
    </cfRule>
    <cfRule type="cellIs" dxfId="5562" priority="8589" operator="equal">
      <formula>"ITAÚ"</formula>
    </cfRule>
    <cfRule type="cellIs" dxfId="5561" priority="8590" operator="equal">
      <formula>"ITAÚ MATRIZ"</formula>
    </cfRule>
    <cfRule type="cellIs" dxfId="5560" priority="8591" operator="between">
      <formula>"SAFRA"</formula>
      <formula>"SAFRA"</formula>
    </cfRule>
    <cfRule type="cellIs" dxfId="5559" priority="8592" operator="between">
      <formula>"SAFRA"</formula>
      <formula>"SAFRA"</formula>
    </cfRule>
    <cfRule type="cellIs" dxfId="5558" priority="8593" operator="between">
      <formula>"DAYCOVAL"</formula>
      <formula>"DAYCOVAL"</formula>
    </cfRule>
    <cfRule type="cellIs" dxfId="5557" priority="8594" operator="between">
      <formula>"ITAÚ FILIAL"</formula>
      <formula>"ITAÚ FILIAL"</formula>
    </cfRule>
    <cfRule type="cellIs" dxfId="5556" priority="8595" operator="between">
      <formula>"ITAÚ FILIAL"</formula>
      <formula>"ITAÚ FILIAL"</formula>
    </cfRule>
    <cfRule type="cellIs" dxfId="5555" priority="8596" operator="between">
      <formula>"ITAÚ MATRIZ"</formula>
      <formula>"ITAÚ MATRIZ"</formula>
    </cfRule>
    <cfRule type="cellIs" dxfId="5554" priority="8597" operator="equal">
      <formula>"ITAÚ"</formula>
    </cfRule>
    <cfRule type="cellIs" dxfId="5553" priority="8598" operator="equal">
      <formula>"ITAÚ"</formula>
    </cfRule>
    <cfRule type="cellIs" dxfId="5552" priority="8599" operator="equal">
      <formula>"ITAÚ MATRIZ"</formula>
    </cfRule>
    <cfRule type="cellIs" dxfId="5551" priority="8600" operator="between">
      <formula>"SAFRA"</formula>
      <formula>"SAFRA"</formula>
    </cfRule>
    <cfRule type="cellIs" dxfId="5550" priority="8601" operator="between">
      <formula>"SAFRA"</formula>
      <formula>"SAFRA"</formula>
    </cfRule>
    <cfRule type="cellIs" dxfId="5549" priority="8602" operator="between">
      <formula>"DAYCOVAL"</formula>
      <formula>"DAYCOVAL"</formula>
    </cfRule>
    <cfRule type="cellIs" dxfId="5548" priority="8603" operator="between">
      <formula>"ITAÚ FILIAL"</formula>
      <formula>"ITAÚ FILIAL"</formula>
    </cfRule>
    <cfRule type="cellIs" dxfId="5547" priority="8604" operator="between">
      <formula>"ITAÚ FILIAL"</formula>
      <formula>"ITAÚ FILIAL"</formula>
    </cfRule>
    <cfRule type="cellIs" dxfId="5546" priority="8605" operator="between">
      <formula>"ITAÚ MATRIZ"</formula>
      <formula>"ITAÚ MATRIZ"</formula>
    </cfRule>
    <cfRule type="cellIs" dxfId="5545" priority="8606" operator="equal">
      <formula>"ITAÚ"</formula>
    </cfRule>
    <cfRule type="cellIs" dxfId="5544" priority="8607" operator="equal">
      <formula>"ITAÚ"</formula>
    </cfRule>
    <cfRule type="cellIs" dxfId="5543" priority="8608" operator="equal">
      <formula>"ITAÚ MATRIZ"</formula>
    </cfRule>
    <cfRule type="cellIs" dxfId="5542" priority="8609" operator="between">
      <formula>"SAFRA"</formula>
      <formula>"SAFRA"</formula>
    </cfRule>
    <cfRule type="cellIs" dxfId="5541" priority="8610" operator="between">
      <formula>"SAFRA"</formula>
      <formula>"SAFRA"</formula>
    </cfRule>
    <cfRule type="cellIs" dxfId="5540" priority="8611" operator="between">
      <formula>"DAYCOVAL"</formula>
      <formula>"DAYCOVAL"</formula>
    </cfRule>
    <cfRule type="cellIs" dxfId="5539" priority="8612" operator="between">
      <formula>"ITAÚ FILIAL"</formula>
      <formula>"ITAÚ FILIAL"</formula>
    </cfRule>
    <cfRule type="cellIs" dxfId="5538" priority="8613" operator="between">
      <formula>"ITAÚ FILIAL"</formula>
      <formula>"ITAÚ FILIAL"</formula>
    </cfRule>
    <cfRule type="cellIs" dxfId="5537" priority="8614" operator="between">
      <formula>"ITAÚ MATRIZ"</formula>
      <formula>"ITAÚ MATRIZ"</formula>
    </cfRule>
    <cfRule type="cellIs" dxfId="5536" priority="8615" operator="equal">
      <formula>"ITAÚ"</formula>
    </cfRule>
    <cfRule type="cellIs" dxfId="5535" priority="8616" operator="equal">
      <formula>"ITAÚ"</formula>
    </cfRule>
    <cfRule type="cellIs" dxfId="5534" priority="8617" operator="equal">
      <formula>"ITAÚ MATRIZ"</formula>
    </cfRule>
    <cfRule type="cellIs" dxfId="5533" priority="8618" operator="between">
      <formula>"SAFRA"</formula>
      <formula>"SAFRA"</formula>
    </cfRule>
    <cfRule type="cellIs" dxfId="5532" priority="8619" operator="between">
      <formula>"SAFRA"</formula>
      <formula>"SAFRA"</formula>
    </cfRule>
    <cfRule type="cellIs" dxfId="5531" priority="8620" operator="between">
      <formula>"DAYCOVAL"</formula>
      <formula>"DAYCOVAL"</formula>
    </cfRule>
    <cfRule type="cellIs" dxfId="5530" priority="8621" operator="between">
      <formula>"ITAÚ FILIAL"</formula>
      <formula>"ITAÚ FILIAL"</formula>
    </cfRule>
    <cfRule type="cellIs" dxfId="5529" priority="8622" operator="between">
      <formula>"ITAÚ FILIAL"</formula>
      <formula>"ITAÚ FILIAL"</formula>
    </cfRule>
    <cfRule type="cellIs" dxfId="5528" priority="8623" operator="between">
      <formula>"ITAÚ MATRIZ"</formula>
      <formula>"ITAÚ MATRIZ"</formula>
    </cfRule>
    <cfRule type="cellIs" dxfId="5527" priority="8624" operator="equal">
      <formula>"ITAÚ"</formula>
    </cfRule>
    <cfRule type="cellIs" dxfId="5526" priority="8625" operator="equal">
      <formula>"ITAÚ"</formula>
    </cfRule>
    <cfRule type="cellIs" dxfId="5525" priority="8626" operator="equal">
      <formula>"ITAÚ MATRIZ"</formula>
    </cfRule>
    <cfRule type="cellIs" dxfId="5524" priority="8627" operator="between">
      <formula>"SAFRA"</formula>
      <formula>"SAFRA"</formula>
    </cfRule>
    <cfRule type="cellIs" dxfId="5523" priority="8628" operator="between">
      <formula>"SAFRA"</formula>
      <formula>"SAFRA"</formula>
    </cfRule>
    <cfRule type="cellIs" dxfId="5522" priority="8629" operator="between">
      <formula>"DAYCOVAL"</formula>
      <formula>"DAYCOVAL"</formula>
    </cfRule>
    <cfRule type="cellIs" dxfId="5521" priority="8630" operator="between">
      <formula>"ITAÚ FILIAL"</formula>
      <formula>"ITAÚ FILIAL"</formula>
    </cfRule>
    <cfRule type="cellIs" dxfId="5520" priority="8631" operator="between">
      <formula>"ITAÚ FILIAL"</formula>
      <formula>"ITAÚ FILIAL"</formula>
    </cfRule>
    <cfRule type="cellIs" dxfId="5519" priority="8632" operator="between">
      <formula>"ITAÚ MATRIZ"</formula>
      <formula>"ITAÚ MATRIZ"</formula>
    </cfRule>
    <cfRule type="cellIs" dxfId="5518" priority="8633" operator="equal">
      <formula>"ITAÚ"</formula>
    </cfRule>
    <cfRule type="cellIs" dxfId="5517" priority="8634" operator="equal">
      <formula>"ITAÚ"</formula>
    </cfRule>
    <cfRule type="cellIs" dxfId="5516" priority="8635" operator="between">
      <formula>"SAFRA"</formula>
      <formula>"SAFRA"</formula>
    </cfRule>
    <cfRule type="cellIs" dxfId="5515" priority="8636" operator="between">
      <formula>"SAFRA"</formula>
      <formula>"SAFRA"</formula>
    </cfRule>
    <cfRule type="cellIs" dxfId="5514" priority="8637" operator="between">
      <formula>"DAYCOVAL"</formula>
      <formula>"DAYCOVAL"</formula>
    </cfRule>
    <cfRule type="cellIs" dxfId="5513" priority="8638" operator="between">
      <formula>"ITAÚ FILIAL"</formula>
      <formula>"ITAÚ FILIAL"</formula>
    </cfRule>
    <cfRule type="cellIs" dxfId="5512" priority="8639" operator="between">
      <formula>"ITAÚ FILIAL"</formula>
      <formula>"ITAÚ FILIAL"</formula>
    </cfRule>
    <cfRule type="cellIs" dxfId="5511" priority="8640" operator="equal">
      <formula>"ITAÚ"</formula>
    </cfRule>
    <cfRule type="cellIs" dxfId="5510" priority="8641" operator="equal">
      <formula>"ITAÚ MATRIZ"</formula>
    </cfRule>
    <cfRule type="cellIs" dxfId="5509" priority="8642" operator="between">
      <formula>"ITAÚ MATRIZ"</formula>
      <formula>"ITAÚ MATRIZ"</formula>
    </cfRule>
    <cfRule type="cellIs" dxfId="5508" priority="8643" operator="equal">
      <formula>"ITAÚ"</formula>
    </cfRule>
    <cfRule type="cellIs" dxfId="5507" priority="8644" operator="equal">
      <formula>"ITAÚ MATRIZ"</formula>
    </cfRule>
    <cfRule type="cellIs" dxfId="5506" priority="8645" operator="between">
      <formula>"SAFRA"</formula>
      <formula>"SAFRA"</formula>
    </cfRule>
    <cfRule type="cellIs" dxfId="5505" priority="8646" operator="between">
      <formula>"SAFRA"</formula>
      <formula>"SAFRA"</formula>
    </cfRule>
    <cfRule type="cellIs" dxfId="5504" priority="8647" operator="between">
      <formula>"DAYCOVAL"</formula>
      <formula>"DAYCOVAL"</formula>
    </cfRule>
    <cfRule type="cellIs" dxfId="5503" priority="8648" operator="between">
      <formula>"ITAÚ FILIAL"</formula>
      <formula>"ITAÚ FILIAL"</formula>
    </cfRule>
    <cfRule type="cellIs" dxfId="5502" priority="8649" operator="between">
      <formula>"ITAÚ FILIAL"</formula>
      <formula>"ITAÚ FILIAL"</formula>
    </cfRule>
    <cfRule type="cellIs" dxfId="5501" priority="8650" operator="between">
      <formula>"ITAÚ MATRIZ"</formula>
      <formula>"ITAÚ MATRIZ"</formula>
    </cfRule>
    <cfRule type="cellIs" dxfId="5500" priority="8651" operator="equal">
      <formula>"ITAÚ"</formula>
    </cfRule>
    <cfRule type="cellIs" dxfId="5499" priority="8652" operator="equal">
      <formula>"ITAÚ"</formula>
    </cfRule>
    <cfRule type="cellIs" dxfId="5498" priority="8653" operator="between">
      <formula>"SAFRA"</formula>
      <formula>"SAFRA"</formula>
    </cfRule>
    <cfRule type="cellIs" dxfId="5497" priority="8654" operator="between">
      <formula>"SAFRA"</formula>
      <formula>"SAFRA"</formula>
    </cfRule>
    <cfRule type="cellIs" dxfId="5496" priority="8655" operator="between">
      <formula>"DAYCOVAL"</formula>
      <formula>"DAYCOVAL"</formula>
    </cfRule>
    <cfRule type="cellIs" dxfId="5495" priority="8656" operator="between">
      <formula>"ITAÚ FILIAL"</formula>
      <formula>"ITAÚ FILIAL"</formula>
    </cfRule>
    <cfRule type="cellIs" dxfId="5494" priority="8657" operator="between">
      <formula>"ITAÚ FILIAL"</formula>
      <formula>"ITAÚ FILIAL"</formula>
    </cfRule>
    <cfRule type="cellIs" dxfId="5493" priority="8566" operator="between">
      <formula>"DAYCOVAL"</formula>
      <formula>"DAYCOVAL"</formula>
    </cfRule>
    <cfRule type="cellIs" dxfId="5492" priority="8564" operator="between">
      <formula>"SAFRA"</formula>
      <formula>"SAFRA"</formula>
    </cfRule>
    <cfRule type="cellIs" dxfId="5491" priority="8660" operator="between">
      <formula>"ITAÚ MATRIZ"</formula>
      <formula>"ITAÚ MATRIZ"</formula>
    </cfRule>
    <cfRule type="cellIs" dxfId="5490" priority="8756" operator="between">
      <formula>"ITAÚ FILIAL"</formula>
      <formula>"ITAÚ FILIAL"</formula>
    </cfRule>
    <cfRule type="cellIs" dxfId="5489" priority="8662" operator="equal">
      <formula>"ITAÚ MATRIZ"</formula>
    </cfRule>
    <cfRule type="cellIs" dxfId="5488" priority="8663" operator="between">
      <formula>"SAFRA"</formula>
      <formula>"SAFRA"</formula>
    </cfRule>
    <cfRule type="cellIs" dxfId="5487" priority="8664" operator="between">
      <formula>"SAFRA"</formula>
      <formula>"SAFRA"</formula>
    </cfRule>
    <cfRule type="cellIs" dxfId="5486" priority="8665" operator="between">
      <formula>"DAYCOVAL"</formula>
      <formula>"DAYCOVAL"</formula>
    </cfRule>
    <cfRule type="cellIs" dxfId="5485" priority="8666" operator="between">
      <formula>"ITAÚ FILIAL"</formula>
      <formula>"ITAÚ FILIAL"</formula>
    </cfRule>
    <cfRule type="cellIs" dxfId="5484" priority="8667" operator="between">
      <formula>"ITAÚ FILIAL"</formula>
      <formula>"ITAÚ FILIAL"</formula>
    </cfRule>
    <cfRule type="cellIs" dxfId="5483" priority="8668" operator="between">
      <formula>"ITAÚ MATRIZ"</formula>
      <formula>"ITAÚ MATRIZ"</formula>
    </cfRule>
    <cfRule type="cellIs" dxfId="5482" priority="8669" operator="equal">
      <formula>"ITAÚ"</formula>
    </cfRule>
    <cfRule type="cellIs" dxfId="5481" priority="8670" operator="equal">
      <formula>"ITAÚ"</formula>
    </cfRule>
    <cfRule type="cellIs" dxfId="5480" priority="8671" operator="equal">
      <formula>"ITAÚ MATRIZ"</formula>
    </cfRule>
    <cfRule type="cellIs" dxfId="5479" priority="8672" operator="between">
      <formula>"SAFRA"</formula>
      <formula>"SAFRA"</formula>
    </cfRule>
    <cfRule type="cellIs" dxfId="5478" priority="8673" operator="between">
      <formula>"SAFRA"</formula>
      <formula>"SAFRA"</formula>
    </cfRule>
    <cfRule type="cellIs" dxfId="5477" priority="8674" operator="between">
      <formula>"DAYCOVAL"</formula>
      <formula>"DAYCOVAL"</formula>
    </cfRule>
    <cfRule type="cellIs" dxfId="5476" priority="8675" operator="between">
      <formula>"ITAÚ FILIAL"</formula>
      <formula>"ITAÚ FILIAL"</formula>
    </cfRule>
    <cfRule type="cellIs" dxfId="5475" priority="8676" operator="between">
      <formula>"ITAÚ FILIAL"</formula>
      <formula>"ITAÚ FILIAL"</formula>
    </cfRule>
    <cfRule type="cellIs" dxfId="5474" priority="8677" operator="between">
      <formula>"ITAÚ MATRIZ"</formula>
      <formula>"ITAÚ MATRIZ"</formula>
    </cfRule>
    <cfRule type="cellIs" dxfId="5473" priority="8678" operator="equal">
      <formula>"ITAÚ"</formula>
    </cfRule>
    <cfRule type="cellIs" dxfId="5472" priority="8679" operator="equal">
      <formula>"ITAÚ"</formula>
    </cfRule>
    <cfRule type="cellIs" dxfId="5471" priority="8680" operator="equal">
      <formula>"ITAÚ MATRIZ"</formula>
    </cfRule>
    <cfRule type="cellIs" dxfId="5470" priority="8681" operator="between">
      <formula>"SAFRA"</formula>
      <formula>"SAFRA"</formula>
    </cfRule>
    <cfRule type="cellIs" dxfId="5469" priority="8682" operator="between">
      <formula>"SAFRA"</formula>
      <formula>"SAFRA"</formula>
    </cfRule>
    <cfRule type="cellIs" dxfId="5468" priority="8683" operator="between">
      <formula>"DAYCOVAL"</formula>
      <formula>"DAYCOVAL"</formula>
    </cfRule>
    <cfRule type="cellIs" dxfId="5467" priority="8684" operator="between">
      <formula>"ITAÚ FILIAL"</formula>
      <formula>"ITAÚ FILIAL"</formula>
    </cfRule>
    <cfRule type="cellIs" dxfId="5466" priority="8685" operator="between">
      <formula>"ITAÚ FILIAL"</formula>
      <formula>"ITAÚ FILIAL"</formula>
    </cfRule>
    <cfRule type="cellIs" dxfId="5465" priority="8686" operator="between">
      <formula>"ITAÚ MATRIZ"</formula>
      <formula>"ITAÚ MATRIZ"</formula>
    </cfRule>
    <cfRule type="cellIs" dxfId="5464" priority="8687" operator="equal">
      <formula>"ITAÚ"</formula>
    </cfRule>
    <cfRule type="cellIs" dxfId="5463" priority="8688" operator="equal">
      <formula>"ITAÚ"</formula>
    </cfRule>
    <cfRule type="cellIs" dxfId="5462" priority="8689" operator="equal">
      <formula>"ITAÚ MATRIZ"</formula>
    </cfRule>
    <cfRule type="cellIs" dxfId="5461" priority="8690" operator="between">
      <formula>"SAFRA"</formula>
      <formula>"SAFRA"</formula>
    </cfRule>
    <cfRule type="cellIs" dxfId="5460" priority="8691" operator="between">
      <formula>"SAFRA"</formula>
      <formula>"SAFRA"</formula>
    </cfRule>
    <cfRule type="cellIs" dxfId="5459" priority="8692" operator="between">
      <formula>"DAYCOVAL"</formula>
      <formula>"DAYCOVAL"</formula>
    </cfRule>
    <cfRule type="cellIs" dxfId="5458" priority="8693" operator="between">
      <formula>"ITAÚ FILIAL"</formula>
      <formula>"ITAÚ FILIAL"</formula>
    </cfRule>
    <cfRule type="cellIs" dxfId="5457" priority="8694" operator="between">
      <formula>"ITAÚ FILIAL"</formula>
      <formula>"ITAÚ FILIAL"</formula>
    </cfRule>
    <cfRule type="cellIs" dxfId="5456" priority="8695" operator="between">
      <formula>"ITAÚ MATRIZ"</formula>
      <formula>"ITAÚ MATRIZ"</formula>
    </cfRule>
    <cfRule type="cellIs" dxfId="5455" priority="8696" operator="equal">
      <formula>"ITAÚ"</formula>
    </cfRule>
    <cfRule type="cellIs" dxfId="5454" priority="8697" operator="equal">
      <formula>"ITAÚ"</formula>
    </cfRule>
    <cfRule type="cellIs" dxfId="5453" priority="8698" operator="equal">
      <formula>"ITAÚ MATRIZ"</formula>
    </cfRule>
    <cfRule type="cellIs" dxfId="5452" priority="8699" operator="between">
      <formula>"SAFRA"</formula>
      <formula>"SAFRA"</formula>
    </cfRule>
    <cfRule type="cellIs" dxfId="5451" priority="8700" operator="between">
      <formula>"SAFRA"</formula>
      <formula>"SAFRA"</formula>
    </cfRule>
    <cfRule type="cellIs" dxfId="5450" priority="8701" operator="between">
      <formula>"DAYCOVAL"</formula>
      <formula>"DAYCOVAL"</formula>
    </cfRule>
    <cfRule type="cellIs" dxfId="5449" priority="8702" operator="between">
      <formula>"ITAÚ FILIAL"</formula>
      <formula>"ITAÚ FILIAL"</formula>
    </cfRule>
    <cfRule type="cellIs" dxfId="5448" priority="8703" operator="between">
      <formula>"ITAÚ FILIAL"</formula>
      <formula>"ITAÚ FILIAL"</formula>
    </cfRule>
    <cfRule type="cellIs" dxfId="5447" priority="8704" operator="between">
      <formula>"ITAÚ MATRIZ"</formula>
      <formula>"ITAÚ MATRIZ"</formula>
    </cfRule>
    <cfRule type="cellIs" dxfId="5446" priority="8705" operator="equal">
      <formula>"ITAÚ"</formula>
    </cfRule>
    <cfRule type="cellIs" dxfId="5445" priority="8706" operator="equal">
      <formula>"ITAÚ"</formula>
    </cfRule>
    <cfRule type="cellIs" dxfId="5444" priority="8707" operator="between">
      <formula>"SAFRA"</formula>
      <formula>"SAFRA"</formula>
    </cfRule>
    <cfRule type="cellIs" dxfId="5443" priority="8708" operator="between">
      <formula>"SAFRA"</formula>
      <formula>"SAFRA"</formula>
    </cfRule>
    <cfRule type="cellIs" dxfId="5442" priority="8709" operator="between">
      <formula>"DAYCOVAL"</formula>
      <formula>"DAYCOVAL"</formula>
    </cfRule>
    <cfRule type="cellIs" dxfId="5441" priority="8710" operator="between">
      <formula>"ITAÚ FILIAL"</formula>
      <formula>"ITAÚ FILIAL"</formula>
    </cfRule>
    <cfRule type="cellIs" dxfId="5440" priority="8711" operator="between">
      <formula>"ITAÚ FILIAL"</formula>
      <formula>"ITAÚ FILIAL"</formula>
    </cfRule>
    <cfRule type="cellIs" dxfId="5439" priority="8712" operator="equal">
      <formula>"ITAÚ"</formula>
    </cfRule>
    <cfRule type="cellIs" dxfId="5438" priority="8713" operator="equal">
      <formula>"ITAÚ MATRIZ"</formula>
    </cfRule>
    <cfRule type="cellIs" dxfId="5437" priority="8714" operator="between">
      <formula>"ITAÚ MATRIZ"</formula>
      <formula>"ITAÚ MATRIZ"</formula>
    </cfRule>
    <cfRule type="cellIs" dxfId="5436" priority="8715" operator="equal">
      <formula>"ITAÚ"</formula>
    </cfRule>
    <cfRule type="cellIs" dxfId="5435" priority="8716" operator="equal">
      <formula>"ITAÚ MATRIZ"</formula>
    </cfRule>
    <cfRule type="cellIs" dxfId="5434" priority="8717" operator="between">
      <formula>"SAFRA"</formula>
      <formula>"SAFRA"</formula>
    </cfRule>
    <cfRule type="cellIs" dxfId="5433" priority="8718" operator="between">
      <formula>"SAFRA"</formula>
      <formula>"SAFRA"</formula>
    </cfRule>
    <cfRule type="cellIs" dxfId="5432" priority="8719" operator="between">
      <formula>"DAYCOVAL"</formula>
      <formula>"DAYCOVAL"</formula>
    </cfRule>
    <cfRule type="cellIs" dxfId="5431" priority="8720" operator="between">
      <formula>"ITAÚ FILIAL"</formula>
      <formula>"ITAÚ FILIAL"</formula>
    </cfRule>
    <cfRule type="cellIs" dxfId="5430" priority="8721" operator="between">
      <formula>"ITAÚ FILIAL"</formula>
      <formula>"ITAÚ FILIAL"</formula>
    </cfRule>
    <cfRule type="cellIs" dxfId="5429" priority="8722" operator="between">
      <formula>"ITAÚ MATRIZ"</formula>
      <formula>"ITAÚ MATRIZ"</formula>
    </cfRule>
    <cfRule type="cellIs" dxfId="5428" priority="8723" operator="equal">
      <formula>"ITAÚ"</formula>
    </cfRule>
    <cfRule type="cellIs" dxfId="5427" priority="8724" operator="equal">
      <formula>"ITAÚ"</formula>
    </cfRule>
    <cfRule type="cellIs" dxfId="5426" priority="8725" operator="between">
      <formula>"SAFRA"</formula>
      <formula>"SAFRA"</formula>
    </cfRule>
    <cfRule type="cellIs" dxfId="5425" priority="8726" operator="between">
      <formula>"SAFRA"</formula>
      <formula>"SAFRA"</formula>
    </cfRule>
    <cfRule type="cellIs" dxfId="5424" priority="8727" operator="between">
      <formula>"DAYCOVAL"</formula>
      <formula>"DAYCOVAL"</formula>
    </cfRule>
    <cfRule type="cellIs" dxfId="5423" priority="8728" operator="between">
      <formula>"ITAÚ FILIAL"</formula>
      <formula>"ITAÚ FILIAL"</formula>
    </cfRule>
    <cfRule type="cellIs" dxfId="5422" priority="8729" operator="between">
      <formula>"ITAÚ FILIAL"</formula>
      <formula>"ITAÚ FILIAL"</formula>
    </cfRule>
    <cfRule type="cellIs" dxfId="5421" priority="8730" operator="equal">
      <formula>"ITAÚ"</formula>
    </cfRule>
    <cfRule type="cellIs" dxfId="5420" priority="8731" operator="equal">
      <formula>"ITAÚ MATRIZ"</formula>
    </cfRule>
    <cfRule type="cellIs" dxfId="5419" priority="8732" operator="between">
      <formula>"ITAÚ MATRIZ"</formula>
      <formula>"ITAÚ MATRIZ"</formula>
    </cfRule>
    <cfRule type="cellIs" dxfId="5418" priority="8733" operator="equal">
      <formula>"ITAÚ"</formula>
    </cfRule>
    <cfRule type="cellIs" dxfId="5417" priority="8734" operator="equal">
      <formula>"ITAÚ MATRIZ"</formula>
    </cfRule>
    <cfRule type="cellIs" dxfId="5416" priority="8735" operator="between">
      <formula>"SAFRA"</formula>
      <formula>"SAFRA"</formula>
    </cfRule>
    <cfRule type="cellIs" dxfId="5415" priority="8736" operator="between">
      <formula>"SAFRA"</formula>
      <formula>"SAFRA"</formula>
    </cfRule>
    <cfRule type="cellIs" dxfId="5414" priority="8737" operator="between">
      <formula>"DAYCOVAL"</formula>
      <formula>"DAYCOVAL"</formula>
    </cfRule>
    <cfRule type="cellIs" dxfId="5413" priority="8738" operator="between">
      <formula>"ITAÚ FILIAL"</formula>
      <formula>"ITAÚ FILIAL"</formula>
    </cfRule>
    <cfRule type="cellIs" dxfId="5412" priority="8739" operator="between">
      <formula>"ITAÚ FILIAL"</formula>
      <formula>"ITAÚ FILIAL"</formula>
    </cfRule>
    <cfRule type="cellIs" dxfId="5411" priority="8740" operator="between">
      <formula>"ITAÚ MATRIZ"</formula>
      <formula>"ITAÚ MATRIZ"</formula>
    </cfRule>
    <cfRule type="cellIs" dxfId="5410" priority="8741" operator="equal">
      <formula>"ITAÚ"</formula>
    </cfRule>
    <cfRule type="cellIs" dxfId="5409" priority="8742" operator="equal">
      <formula>"ITAÚ"</formula>
    </cfRule>
    <cfRule type="cellIs" dxfId="5408" priority="8743" operator="between">
      <formula>"SAFRA"</formula>
      <formula>"SAFRA"</formula>
    </cfRule>
    <cfRule type="cellIs" dxfId="5407" priority="8744" operator="between">
      <formula>"SAFRA"</formula>
      <formula>"SAFRA"</formula>
    </cfRule>
    <cfRule type="cellIs" dxfId="5406" priority="8745" operator="between">
      <formula>"DAYCOVAL"</formula>
      <formula>"DAYCOVAL"</formula>
    </cfRule>
    <cfRule type="cellIs" dxfId="5405" priority="8746" operator="between">
      <formula>"ITAÚ FILIAL"</formula>
      <formula>"ITAÚ FILIAL"</formula>
    </cfRule>
    <cfRule type="cellIs" dxfId="5404" priority="8747" operator="between">
      <formula>"ITAÚ FILIAL"</formula>
      <formula>"ITAÚ FILIAL"</formula>
    </cfRule>
    <cfRule type="cellIs" dxfId="5403" priority="8748" operator="equal">
      <formula>"ITAÚ"</formula>
    </cfRule>
    <cfRule type="cellIs" dxfId="5402" priority="8749" operator="equal">
      <formula>"ITAÚ MATRIZ"</formula>
    </cfRule>
    <cfRule type="cellIs" dxfId="5401" priority="8750" operator="between">
      <formula>"ITAÚ MATRIZ"</formula>
      <formula>"ITAÚ MATRIZ"</formula>
    </cfRule>
    <cfRule type="cellIs" dxfId="5400" priority="8751" operator="equal">
      <formula>"ITAÚ"</formula>
    </cfRule>
    <cfRule type="cellIs" dxfId="5399" priority="8565" operator="between">
      <formula>"SAFRA"</formula>
      <formula>"SAFRA"</formula>
    </cfRule>
    <cfRule type="cellIs" dxfId="5398" priority="8563" operator="equal">
      <formula>"ITAÚ MATRIZ"</formula>
    </cfRule>
    <cfRule type="cellIs" dxfId="5397" priority="8659" operator="equal">
      <formula>"ITAÚ MATRIZ"</formula>
    </cfRule>
    <cfRule type="cellIs" dxfId="5396" priority="8755" operator="between">
      <formula>"ITAÚ FILIAL"</formula>
      <formula>"ITAÚ FILIAL"</formula>
    </cfRule>
    <cfRule type="cellIs" dxfId="5395" priority="8661" operator="equal">
      <formula>"ITAÚ"</formula>
    </cfRule>
  </conditionalFormatting>
  <conditionalFormatting sqref="I131:I154">
    <cfRule type="cellIs" dxfId="5394" priority="8345" operator="between">
      <formula>"DAYCOVAL"</formula>
      <formula>"DAYCOVAL"</formula>
    </cfRule>
    <cfRule type="cellIs" dxfId="5393" priority="8347" operator="between">
      <formula>"ITAÚ FILIAL"</formula>
      <formula>"ITAÚ FILIAL"</formula>
    </cfRule>
    <cfRule type="cellIs" dxfId="5392" priority="8346" operator="between">
      <formula>"ITAÚ FILIAL"</formula>
      <formula>"ITAÚ FILIAL"</formula>
    </cfRule>
    <cfRule type="cellIs" dxfId="5391" priority="8343" operator="between">
      <formula>"SAFRA"</formula>
      <formula>"SAFRA"</formula>
    </cfRule>
    <cfRule type="cellIs" dxfId="5390" priority="8342" operator="equal">
      <formula>"ITAÚ MATRIZ"</formula>
    </cfRule>
    <cfRule type="cellIs" dxfId="5389" priority="8344" operator="between">
      <formula>"SAFRA"</formula>
      <formula>"SAFRA"</formula>
    </cfRule>
    <cfRule type="cellIs" dxfId="5388" priority="8348" operator="between">
      <formula>"ITAÚ MATRIZ"</formula>
      <formula>"ITAÚ MATRIZ"</formula>
    </cfRule>
    <cfRule type="cellIs" dxfId="5387" priority="8349" operator="equal">
      <formula>"ITAÚ"</formula>
    </cfRule>
    <cfRule type="cellIs" dxfId="5386" priority="8350" operator="equal">
      <formula>"ITAÚ"</formula>
    </cfRule>
    <cfRule type="cellIs" dxfId="5385" priority="8351" operator="equal">
      <formula>"ITAÚ MATRIZ"</formula>
    </cfRule>
    <cfRule type="cellIs" dxfId="5384" priority="8352" operator="between">
      <formula>"SAFRA"</formula>
      <formula>"SAFRA"</formula>
    </cfRule>
    <cfRule type="cellIs" dxfId="5383" priority="8353" operator="between">
      <formula>"SAFRA"</formula>
      <formula>"SAFRA"</formula>
    </cfRule>
    <cfRule type="cellIs" dxfId="5382" priority="8354" operator="between">
      <formula>"DAYCOVAL"</formula>
      <formula>"DAYCOVAL"</formula>
    </cfRule>
    <cfRule type="cellIs" dxfId="5381" priority="8355" operator="between">
      <formula>"ITAÚ FILIAL"</formula>
      <formula>"ITAÚ FILIAL"</formula>
    </cfRule>
    <cfRule type="cellIs" dxfId="5380" priority="8356" operator="between">
      <formula>"ITAÚ FILIAL"</formula>
      <formula>"ITAÚ FILIAL"</formula>
    </cfRule>
    <cfRule type="cellIs" dxfId="5379" priority="8357" operator="between">
      <formula>"ITAÚ MATRIZ"</formula>
      <formula>"ITAÚ MATRIZ"</formula>
    </cfRule>
    <cfRule type="cellIs" dxfId="5378" priority="8358" operator="equal">
      <formula>"ITAÚ"</formula>
    </cfRule>
    <cfRule type="cellIs" dxfId="5377" priority="8359" operator="equal">
      <formula>"ITAÚ"</formula>
    </cfRule>
    <cfRule type="cellIs" dxfId="5376" priority="8360" operator="between">
      <formula>"SAFRA"</formula>
      <formula>"SAFRA"</formula>
    </cfRule>
    <cfRule type="cellIs" dxfId="5375" priority="8361" operator="between">
      <formula>"SAFRA"</formula>
      <formula>"SAFRA"</formula>
    </cfRule>
    <cfRule type="cellIs" dxfId="5374" priority="8362" operator="between">
      <formula>"DAYCOVAL"</formula>
      <formula>"DAYCOVAL"</formula>
    </cfRule>
    <cfRule type="cellIs" dxfId="5373" priority="8363" operator="between">
      <formula>"ITAÚ FILIAL"</formula>
      <formula>"ITAÚ FILIAL"</formula>
    </cfRule>
    <cfRule type="cellIs" dxfId="5372" priority="8364" operator="between">
      <formula>"ITAÚ FILIAL"</formula>
      <formula>"ITAÚ FILIAL"</formula>
    </cfRule>
    <cfRule type="cellIs" dxfId="5371" priority="8365" operator="equal">
      <formula>"ITAÚ"</formula>
    </cfRule>
    <cfRule type="cellIs" dxfId="5370" priority="8366" operator="equal">
      <formula>"ITAÚ MATRIZ"</formula>
    </cfRule>
    <cfRule type="cellIs" dxfId="5369" priority="8367" operator="between">
      <formula>"ITAÚ MATRIZ"</formula>
      <formula>"ITAÚ MATRIZ"</formula>
    </cfRule>
    <cfRule type="cellIs" dxfId="5368" priority="8368" operator="equal">
      <formula>"ITAÚ"</formula>
    </cfRule>
    <cfRule type="cellIs" dxfId="5367" priority="8369" operator="equal">
      <formula>"ITAÚ MATRIZ"</formula>
    </cfRule>
    <cfRule type="cellIs" dxfId="5366" priority="8370" operator="between">
      <formula>"SAFRA"</formula>
      <formula>"SAFRA"</formula>
    </cfRule>
    <cfRule type="cellIs" dxfId="5365" priority="8371" operator="between">
      <formula>"SAFRA"</formula>
      <formula>"SAFRA"</formula>
    </cfRule>
    <cfRule type="cellIs" dxfId="5364" priority="8372" operator="between">
      <formula>"DAYCOVAL"</formula>
      <formula>"DAYCOVAL"</formula>
    </cfRule>
    <cfRule type="cellIs" dxfId="5363" priority="8373" operator="between">
      <formula>"ITAÚ FILIAL"</formula>
      <formula>"ITAÚ FILIAL"</formula>
    </cfRule>
    <cfRule type="cellIs" dxfId="5362" priority="8374" operator="between">
      <formula>"ITAÚ FILIAL"</formula>
      <formula>"ITAÚ FILIAL"</formula>
    </cfRule>
    <cfRule type="cellIs" dxfId="5361" priority="8375" operator="between">
      <formula>"ITAÚ MATRIZ"</formula>
      <formula>"ITAÚ MATRIZ"</formula>
    </cfRule>
    <cfRule type="cellIs" dxfId="5360" priority="8376" operator="equal">
      <formula>"ITAÚ"</formula>
    </cfRule>
    <cfRule type="cellIs" dxfId="5359" priority="8377" operator="equal">
      <formula>"ITAÚ"</formula>
    </cfRule>
    <cfRule type="cellIs" dxfId="5358" priority="8378" operator="equal">
      <formula>"ITAÚ MATRIZ"</formula>
    </cfRule>
    <cfRule type="cellIs" dxfId="5357" priority="8379" operator="between">
      <formula>"SAFRA"</formula>
      <formula>"SAFRA"</formula>
    </cfRule>
    <cfRule type="cellIs" dxfId="5356" priority="8380" operator="between">
      <formula>"SAFRA"</formula>
      <formula>"SAFRA"</formula>
    </cfRule>
    <cfRule type="cellIs" dxfId="5355" priority="8381" operator="between">
      <formula>"DAYCOVAL"</formula>
      <formula>"DAYCOVAL"</formula>
    </cfRule>
    <cfRule type="cellIs" dxfId="5354" priority="8382" operator="between">
      <formula>"ITAÚ FILIAL"</formula>
      <formula>"ITAÚ FILIAL"</formula>
    </cfRule>
    <cfRule type="cellIs" dxfId="5353" priority="8383" operator="between">
      <formula>"ITAÚ FILIAL"</formula>
      <formula>"ITAÚ FILIAL"</formula>
    </cfRule>
    <cfRule type="cellIs" dxfId="5352" priority="8384" operator="between">
      <formula>"ITAÚ MATRIZ"</formula>
      <formula>"ITAÚ MATRIZ"</formula>
    </cfRule>
    <cfRule type="cellIs" dxfId="5351" priority="8385" operator="equal">
      <formula>"ITAÚ"</formula>
    </cfRule>
    <cfRule type="cellIs" dxfId="5350" priority="8386" operator="equal">
      <formula>"ITAÚ"</formula>
    </cfRule>
    <cfRule type="cellIs" dxfId="5349" priority="8387" operator="equal">
      <formula>"ITAÚ MATRIZ"</formula>
    </cfRule>
    <cfRule type="cellIs" dxfId="5348" priority="8388" operator="between">
      <formula>"SAFRA"</formula>
      <formula>"SAFRA"</formula>
    </cfRule>
    <cfRule type="cellIs" dxfId="5347" priority="8389" operator="between">
      <formula>"SAFRA"</formula>
      <formula>"SAFRA"</formula>
    </cfRule>
    <cfRule type="cellIs" dxfId="5346" priority="8390" operator="between">
      <formula>"DAYCOVAL"</formula>
      <formula>"DAYCOVAL"</formula>
    </cfRule>
    <cfRule type="cellIs" dxfId="5345" priority="8391" operator="between">
      <formula>"ITAÚ FILIAL"</formula>
      <formula>"ITAÚ FILIAL"</formula>
    </cfRule>
    <cfRule type="cellIs" dxfId="5344" priority="8392" operator="between">
      <formula>"ITAÚ FILIAL"</formula>
      <formula>"ITAÚ FILIAL"</formula>
    </cfRule>
    <cfRule type="cellIs" dxfId="5343" priority="8393" operator="between">
      <formula>"ITAÚ MATRIZ"</formula>
      <formula>"ITAÚ MATRIZ"</formula>
    </cfRule>
    <cfRule type="cellIs" dxfId="5342" priority="8394" operator="equal">
      <formula>"ITAÚ"</formula>
    </cfRule>
    <cfRule type="cellIs" dxfId="5341" priority="8395" operator="equal">
      <formula>"ITAÚ"</formula>
    </cfRule>
    <cfRule type="cellIs" dxfId="5340" priority="8396" operator="equal">
      <formula>"ITAÚ MATRIZ"</formula>
    </cfRule>
    <cfRule type="cellIs" dxfId="5339" priority="8397" operator="between">
      <formula>"SAFRA"</formula>
      <formula>"SAFRA"</formula>
    </cfRule>
    <cfRule type="cellIs" dxfId="5338" priority="8398" operator="between">
      <formula>"SAFRA"</formula>
      <formula>"SAFRA"</formula>
    </cfRule>
    <cfRule type="cellIs" dxfId="5337" priority="8399" operator="between">
      <formula>"DAYCOVAL"</formula>
      <formula>"DAYCOVAL"</formula>
    </cfRule>
    <cfRule type="cellIs" dxfId="5336" priority="8400" operator="between">
      <formula>"ITAÚ FILIAL"</formula>
      <formula>"ITAÚ FILIAL"</formula>
    </cfRule>
    <cfRule type="cellIs" dxfId="5335" priority="8401" operator="between">
      <formula>"ITAÚ FILIAL"</formula>
      <formula>"ITAÚ FILIAL"</formula>
    </cfRule>
    <cfRule type="cellIs" dxfId="5334" priority="8402" operator="between">
      <formula>"ITAÚ MATRIZ"</formula>
      <formula>"ITAÚ MATRIZ"</formula>
    </cfRule>
    <cfRule type="cellIs" dxfId="5333" priority="8403" operator="equal">
      <formula>"ITAÚ"</formula>
    </cfRule>
    <cfRule type="cellIs" dxfId="5332" priority="8404" operator="equal">
      <formula>"ITAÚ"</formula>
    </cfRule>
    <cfRule type="cellIs" dxfId="5331" priority="8405" operator="equal">
      <formula>"ITAÚ MATRIZ"</formula>
    </cfRule>
    <cfRule type="cellIs" dxfId="5330" priority="8406" operator="between">
      <formula>"SAFRA"</formula>
      <formula>"SAFRA"</formula>
    </cfRule>
    <cfRule type="cellIs" dxfId="5329" priority="8407" operator="between">
      <formula>"SAFRA"</formula>
      <formula>"SAFRA"</formula>
    </cfRule>
    <cfRule type="cellIs" dxfId="5328" priority="8408" operator="between">
      <formula>"DAYCOVAL"</formula>
      <formula>"DAYCOVAL"</formula>
    </cfRule>
    <cfRule type="cellIs" dxfId="5327" priority="8409" operator="between">
      <formula>"ITAÚ FILIAL"</formula>
      <formula>"ITAÚ FILIAL"</formula>
    </cfRule>
    <cfRule type="cellIs" dxfId="5326" priority="8410" operator="between">
      <formula>"ITAÚ FILIAL"</formula>
      <formula>"ITAÚ FILIAL"</formula>
    </cfRule>
    <cfRule type="cellIs" dxfId="5325" priority="8411" operator="between">
      <formula>"ITAÚ MATRIZ"</formula>
      <formula>"ITAÚ MATRIZ"</formula>
    </cfRule>
    <cfRule type="cellIs" dxfId="5324" priority="8412" operator="equal">
      <formula>"ITAÚ"</formula>
    </cfRule>
    <cfRule type="cellIs" dxfId="5323" priority="8413" operator="equal">
      <formula>"ITAÚ"</formula>
    </cfRule>
    <cfRule type="cellIs" dxfId="5322" priority="8414" operator="between">
      <formula>"SAFRA"</formula>
      <formula>"SAFRA"</formula>
    </cfRule>
    <cfRule type="cellIs" dxfId="5321" priority="8415" operator="between">
      <formula>"SAFRA"</formula>
      <formula>"SAFRA"</formula>
    </cfRule>
    <cfRule type="cellIs" dxfId="5320" priority="8416" operator="between">
      <formula>"DAYCOVAL"</formula>
      <formula>"DAYCOVAL"</formula>
    </cfRule>
    <cfRule type="cellIs" dxfId="5319" priority="8417" operator="between">
      <formula>"ITAÚ FILIAL"</formula>
      <formula>"ITAÚ FILIAL"</formula>
    </cfRule>
    <cfRule type="cellIs" dxfId="5318" priority="8418" operator="between">
      <formula>"ITAÚ FILIAL"</formula>
      <formula>"ITAÚ FILIAL"</formula>
    </cfRule>
    <cfRule type="cellIs" dxfId="5317" priority="8419" operator="equal">
      <formula>"ITAÚ"</formula>
    </cfRule>
    <cfRule type="cellIs" dxfId="5316" priority="8420" operator="equal">
      <formula>"ITAÚ MATRIZ"</formula>
    </cfRule>
    <cfRule type="cellIs" dxfId="5315" priority="8421" operator="between">
      <formula>"ITAÚ MATRIZ"</formula>
      <formula>"ITAÚ MATRIZ"</formula>
    </cfRule>
    <cfRule type="cellIs" dxfId="5314" priority="8422" operator="equal">
      <formula>"ITAÚ"</formula>
    </cfRule>
    <cfRule type="cellIs" dxfId="5313" priority="8423" operator="equal">
      <formula>"ITAÚ MATRIZ"</formula>
    </cfRule>
    <cfRule type="cellIs" dxfId="5312" priority="8424" operator="between">
      <formula>"SAFRA"</formula>
      <formula>"SAFRA"</formula>
    </cfRule>
    <cfRule type="cellIs" dxfId="5311" priority="8425" operator="between">
      <formula>"SAFRA"</formula>
      <formula>"SAFRA"</formula>
    </cfRule>
    <cfRule type="cellIs" dxfId="5310" priority="8426" operator="between">
      <formula>"DAYCOVAL"</formula>
      <formula>"DAYCOVAL"</formula>
    </cfRule>
    <cfRule type="cellIs" dxfId="5309" priority="8427" operator="between">
      <formula>"ITAÚ FILIAL"</formula>
      <formula>"ITAÚ FILIAL"</formula>
    </cfRule>
    <cfRule type="cellIs" dxfId="5308" priority="8428" operator="between">
      <formula>"ITAÚ FILIAL"</formula>
      <formula>"ITAÚ FILIAL"</formula>
    </cfRule>
    <cfRule type="cellIs" dxfId="5307" priority="8429" operator="between">
      <formula>"ITAÚ MATRIZ"</formula>
      <formula>"ITAÚ MATRIZ"</formula>
    </cfRule>
    <cfRule type="cellIs" dxfId="5306" priority="8430" operator="equal">
      <formula>"ITAÚ"</formula>
    </cfRule>
    <cfRule type="cellIs" dxfId="5305" priority="8431" operator="equal">
      <formula>"ITAÚ"</formula>
    </cfRule>
    <cfRule type="cellIs" dxfId="5304" priority="8432" operator="between">
      <formula>"SAFRA"</formula>
      <formula>"SAFRA"</formula>
    </cfRule>
    <cfRule type="cellIs" dxfId="5303" priority="8433" operator="between">
      <formula>"SAFRA"</formula>
      <formula>"SAFRA"</formula>
    </cfRule>
    <cfRule type="cellIs" dxfId="5302" priority="8434" operator="between">
      <formula>"DAYCOVAL"</formula>
      <formula>"DAYCOVAL"</formula>
    </cfRule>
    <cfRule type="cellIs" dxfId="5301" priority="8435" operator="between">
      <formula>"ITAÚ FILIAL"</formula>
      <formula>"ITAÚ FILIAL"</formula>
    </cfRule>
    <cfRule type="cellIs" dxfId="5300" priority="8436" operator="between">
      <formula>"ITAÚ FILIAL"</formula>
      <formula>"ITAÚ FILIAL"</formula>
    </cfRule>
    <cfRule type="cellIs" dxfId="5299" priority="8437" operator="equal">
      <formula>"ITAÚ"</formula>
    </cfRule>
    <cfRule type="cellIs" dxfId="5298" priority="8438" operator="equal">
      <formula>"ITAÚ MATRIZ"</formula>
    </cfRule>
    <cfRule type="cellIs" dxfId="5297" priority="8538" operator="between">
      <formula>"ITAÚ MATRIZ"</formula>
      <formula>"ITAÚ MATRIZ"</formula>
    </cfRule>
    <cfRule type="cellIs" dxfId="5296" priority="8440" operator="equal">
      <formula>"ITAÚ"</formula>
    </cfRule>
    <cfRule type="cellIs" dxfId="5295" priority="8441" operator="equal">
      <formula>"ITAÚ MATRIZ"</formula>
    </cfRule>
    <cfRule type="cellIs" dxfId="5294" priority="8442" operator="between">
      <formula>"SAFRA"</formula>
      <formula>"SAFRA"</formula>
    </cfRule>
    <cfRule type="cellIs" dxfId="5293" priority="8443" operator="between">
      <formula>"SAFRA"</formula>
      <formula>"SAFRA"</formula>
    </cfRule>
    <cfRule type="cellIs" dxfId="5292" priority="8444" operator="between">
      <formula>"DAYCOVAL"</formula>
      <formula>"DAYCOVAL"</formula>
    </cfRule>
    <cfRule type="cellIs" dxfId="5291" priority="8445" operator="between">
      <formula>"ITAÚ FILIAL"</formula>
      <formula>"ITAÚ FILIAL"</formula>
    </cfRule>
    <cfRule type="cellIs" dxfId="5290" priority="8446" operator="between">
      <formula>"ITAÚ FILIAL"</formula>
      <formula>"ITAÚ FILIAL"</formula>
    </cfRule>
    <cfRule type="cellIs" dxfId="5289" priority="8447" operator="between">
      <formula>"ITAÚ MATRIZ"</formula>
      <formula>"ITAÚ MATRIZ"</formula>
    </cfRule>
    <cfRule type="cellIs" dxfId="5288" priority="8448" operator="equal">
      <formula>"ITAÚ"</formula>
    </cfRule>
    <cfRule type="cellIs" dxfId="5287" priority="8449" operator="equal">
      <formula>"ITAÚ"</formula>
    </cfRule>
    <cfRule type="cellIs" dxfId="5286" priority="8450" operator="equal">
      <formula>"ITAÚ MATRIZ"</formula>
    </cfRule>
    <cfRule type="cellIs" dxfId="5285" priority="8451" operator="between">
      <formula>"SAFRA"</formula>
      <formula>"SAFRA"</formula>
    </cfRule>
    <cfRule type="cellIs" dxfId="5284" priority="8452" operator="between">
      <formula>"SAFRA"</formula>
      <formula>"SAFRA"</formula>
    </cfRule>
    <cfRule type="cellIs" dxfId="5283" priority="8453" operator="between">
      <formula>"DAYCOVAL"</formula>
      <formula>"DAYCOVAL"</formula>
    </cfRule>
    <cfRule type="cellIs" dxfId="5282" priority="8454" operator="between">
      <formula>"ITAÚ FILIAL"</formula>
      <formula>"ITAÚ FILIAL"</formula>
    </cfRule>
    <cfRule type="cellIs" dxfId="5281" priority="8455" operator="between">
      <formula>"ITAÚ FILIAL"</formula>
      <formula>"ITAÚ FILIAL"</formula>
    </cfRule>
    <cfRule type="cellIs" dxfId="5280" priority="8456" operator="between">
      <formula>"ITAÚ MATRIZ"</formula>
      <formula>"ITAÚ MATRIZ"</formula>
    </cfRule>
    <cfRule type="cellIs" dxfId="5279" priority="8457" operator="equal">
      <formula>"ITAÚ"</formula>
    </cfRule>
    <cfRule type="cellIs" dxfId="5278" priority="8458" operator="equal">
      <formula>"ITAÚ"</formula>
    </cfRule>
    <cfRule type="cellIs" dxfId="5277" priority="8459" operator="equal">
      <formula>"ITAÚ MATRIZ"</formula>
    </cfRule>
    <cfRule type="cellIs" dxfId="5276" priority="8460" operator="between">
      <formula>"SAFRA"</formula>
      <formula>"SAFRA"</formula>
    </cfRule>
    <cfRule type="cellIs" dxfId="5275" priority="8461" operator="between">
      <formula>"SAFRA"</formula>
      <formula>"SAFRA"</formula>
    </cfRule>
    <cfRule type="cellIs" dxfId="5274" priority="8462" operator="between">
      <formula>"DAYCOVAL"</formula>
      <formula>"DAYCOVAL"</formula>
    </cfRule>
    <cfRule type="cellIs" dxfId="5273" priority="8463" operator="between">
      <formula>"ITAÚ FILIAL"</formula>
      <formula>"ITAÚ FILIAL"</formula>
    </cfRule>
    <cfRule type="cellIs" dxfId="5272" priority="8464" operator="between">
      <formula>"ITAÚ FILIAL"</formula>
      <formula>"ITAÚ FILIAL"</formula>
    </cfRule>
    <cfRule type="cellIs" dxfId="5271" priority="8465" operator="between">
      <formula>"ITAÚ MATRIZ"</formula>
      <formula>"ITAÚ MATRIZ"</formula>
    </cfRule>
    <cfRule type="cellIs" dxfId="5270" priority="8466" operator="equal">
      <formula>"ITAÚ"</formula>
    </cfRule>
    <cfRule type="cellIs" dxfId="5269" priority="8467" operator="equal">
      <formula>"ITAÚ"</formula>
    </cfRule>
    <cfRule type="cellIs" dxfId="5268" priority="8468" operator="equal">
      <formula>"ITAÚ MATRIZ"</formula>
    </cfRule>
    <cfRule type="cellIs" dxfId="5267" priority="8469" operator="between">
      <formula>"SAFRA"</formula>
      <formula>"SAFRA"</formula>
    </cfRule>
    <cfRule type="cellIs" dxfId="5266" priority="8470" operator="between">
      <formula>"SAFRA"</formula>
      <formula>"SAFRA"</formula>
    </cfRule>
    <cfRule type="cellIs" dxfId="5265" priority="8471" operator="between">
      <formula>"DAYCOVAL"</formula>
      <formula>"DAYCOVAL"</formula>
    </cfRule>
    <cfRule type="cellIs" dxfId="5264" priority="8472" operator="between">
      <formula>"ITAÚ FILIAL"</formula>
      <formula>"ITAÚ FILIAL"</formula>
    </cfRule>
    <cfRule type="cellIs" dxfId="5263" priority="8473" operator="between">
      <formula>"ITAÚ FILIAL"</formula>
      <formula>"ITAÚ FILIAL"</formula>
    </cfRule>
    <cfRule type="cellIs" dxfId="5262" priority="8474" operator="between">
      <formula>"ITAÚ MATRIZ"</formula>
      <formula>"ITAÚ MATRIZ"</formula>
    </cfRule>
    <cfRule type="cellIs" dxfId="5261" priority="8475" operator="equal">
      <formula>"ITAÚ"</formula>
    </cfRule>
    <cfRule type="cellIs" dxfId="5260" priority="8476" operator="equal">
      <formula>"ITAÚ"</formula>
    </cfRule>
    <cfRule type="cellIs" dxfId="5259" priority="8477" operator="equal">
      <formula>"ITAÚ MATRIZ"</formula>
    </cfRule>
    <cfRule type="cellIs" dxfId="5258" priority="8478" operator="between">
      <formula>"SAFRA"</formula>
      <formula>"SAFRA"</formula>
    </cfRule>
    <cfRule type="cellIs" dxfId="5257" priority="8479" operator="between">
      <formula>"SAFRA"</formula>
      <formula>"SAFRA"</formula>
    </cfRule>
    <cfRule type="cellIs" dxfId="5256" priority="8480" operator="between">
      <formula>"DAYCOVAL"</formula>
      <formula>"DAYCOVAL"</formula>
    </cfRule>
    <cfRule type="cellIs" dxfId="5255" priority="8481" operator="between">
      <formula>"ITAÚ FILIAL"</formula>
      <formula>"ITAÚ FILIAL"</formula>
    </cfRule>
    <cfRule type="cellIs" dxfId="5254" priority="8482" operator="between">
      <formula>"ITAÚ FILIAL"</formula>
      <formula>"ITAÚ FILIAL"</formula>
    </cfRule>
    <cfRule type="cellIs" dxfId="5253" priority="8483" operator="between">
      <formula>"ITAÚ MATRIZ"</formula>
      <formula>"ITAÚ MATRIZ"</formula>
    </cfRule>
    <cfRule type="cellIs" dxfId="5252" priority="8484" operator="equal">
      <formula>"ITAÚ"</formula>
    </cfRule>
    <cfRule type="cellIs" dxfId="5251" priority="8485" operator="equal">
      <formula>"ITAÚ"</formula>
    </cfRule>
    <cfRule type="cellIs" dxfId="5250" priority="8486" operator="between">
      <formula>"SAFRA"</formula>
      <formula>"SAFRA"</formula>
    </cfRule>
    <cfRule type="cellIs" dxfId="5249" priority="8487" operator="between">
      <formula>"SAFRA"</formula>
      <formula>"SAFRA"</formula>
    </cfRule>
    <cfRule type="cellIs" dxfId="5248" priority="8488" operator="between">
      <formula>"DAYCOVAL"</formula>
      <formula>"DAYCOVAL"</formula>
    </cfRule>
    <cfRule type="cellIs" dxfId="5247" priority="8489" operator="between">
      <formula>"ITAÚ FILIAL"</formula>
      <formula>"ITAÚ FILIAL"</formula>
    </cfRule>
    <cfRule type="cellIs" dxfId="5246" priority="8490" operator="between">
      <formula>"ITAÚ FILIAL"</formula>
      <formula>"ITAÚ FILIAL"</formula>
    </cfRule>
    <cfRule type="cellIs" dxfId="5245" priority="8491" operator="equal">
      <formula>"ITAÚ"</formula>
    </cfRule>
    <cfRule type="cellIs" dxfId="5244" priority="8492" operator="equal">
      <formula>"ITAÚ MATRIZ"</formula>
    </cfRule>
    <cfRule type="cellIs" dxfId="5243" priority="8493" operator="between">
      <formula>"ITAÚ MATRIZ"</formula>
      <formula>"ITAÚ MATRIZ"</formula>
    </cfRule>
    <cfRule type="cellIs" dxfId="5242" priority="8494" operator="equal">
      <formula>"ITAÚ"</formula>
    </cfRule>
    <cfRule type="cellIs" dxfId="5241" priority="8495" operator="equal">
      <formula>"ITAÚ MATRIZ"</formula>
    </cfRule>
    <cfRule type="cellIs" dxfId="5240" priority="8496" operator="between">
      <formula>"SAFRA"</formula>
      <formula>"SAFRA"</formula>
    </cfRule>
    <cfRule type="cellIs" dxfId="5239" priority="8497" operator="between">
      <formula>"SAFRA"</formula>
      <formula>"SAFRA"</formula>
    </cfRule>
    <cfRule type="cellIs" dxfId="5238" priority="8498" operator="between">
      <formula>"DAYCOVAL"</formula>
      <formula>"DAYCOVAL"</formula>
    </cfRule>
    <cfRule type="cellIs" dxfId="5237" priority="8499" operator="between">
      <formula>"ITAÚ FILIAL"</formula>
      <formula>"ITAÚ FILIAL"</formula>
    </cfRule>
    <cfRule type="cellIs" dxfId="5236" priority="8500" operator="between">
      <formula>"ITAÚ FILIAL"</formula>
      <formula>"ITAÚ FILIAL"</formula>
    </cfRule>
    <cfRule type="cellIs" dxfId="5235" priority="8501" operator="between">
      <formula>"ITAÚ MATRIZ"</formula>
      <formula>"ITAÚ MATRIZ"</formula>
    </cfRule>
    <cfRule type="cellIs" dxfId="5234" priority="8502" operator="equal">
      <formula>"ITAÚ"</formula>
    </cfRule>
    <cfRule type="cellIs" dxfId="5233" priority="8503" operator="equal">
      <formula>"ITAÚ"</formula>
    </cfRule>
    <cfRule type="cellIs" dxfId="5232" priority="8504" operator="between">
      <formula>"SAFRA"</formula>
      <formula>"SAFRA"</formula>
    </cfRule>
    <cfRule type="cellIs" dxfId="5231" priority="8505" operator="between">
      <formula>"SAFRA"</formula>
      <formula>"SAFRA"</formula>
    </cfRule>
    <cfRule type="cellIs" dxfId="5230" priority="8506" operator="between">
      <formula>"DAYCOVAL"</formula>
      <formula>"DAYCOVAL"</formula>
    </cfRule>
    <cfRule type="cellIs" dxfId="5229" priority="8507" operator="between">
      <formula>"ITAÚ FILIAL"</formula>
      <formula>"ITAÚ FILIAL"</formula>
    </cfRule>
    <cfRule type="cellIs" dxfId="5228" priority="8508" operator="between">
      <formula>"ITAÚ FILIAL"</formula>
      <formula>"ITAÚ FILIAL"</formula>
    </cfRule>
    <cfRule type="cellIs" dxfId="5227" priority="8509" operator="equal">
      <formula>"ITAÚ"</formula>
    </cfRule>
    <cfRule type="cellIs" dxfId="5226" priority="8510" operator="equal">
      <formula>"ITAÚ MATRIZ"</formula>
    </cfRule>
    <cfRule type="cellIs" dxfId="5225" priority="8511" operator="between">
      <formula>"ITAÚ MATRIZ"</formula>
      <formula>"ITAÚ MATRIZ"</formula>
    </cfRule>
    <cfRule type="cellIs" dxfId="5224" priority="8512" operator="equal">
      <formula>"ITAÚ"</formula>
    </cfRule>
    <cfRule type="cellIs" dxfId="5223" priority="8513" operator="equal">
      <formula>"ITAÚ MATRIZ"</formula>
    </cfRule>
    <cfRule type="cellIs" dxfId="5222" priority="8514" operator="between">
      <formula>"SAFRA"</formula>
      <formula>"SAFRA"</formula>
    </cfRule>
    <cfRule type="cellIs" dxfId="5221" priority="8515" operator="between">
      <formula>"SAFRA"</formula>
      <formula>"SAFRA"</formula>
    </cfRule>
    <cfRule type="cellIs" dxfId="5220" priority="8516" operator="between">
      <formula>"DAYCOVAL"</formula>
      <formula>"DAYCOVAL"</formula>
    </cfRule>
    <cfRule type="cellIs" dxfId="5219" priority="8517" operator="between">
      <formula>"ITAÚ FILIAL"</formula>
      <formula>"ITAÚ FILIAL"</formula>
    </cfRule>
    <cfRule type="cellIs" dxfId="5218" priority="8518" operator="between">
      <formula>"ITAÚ FILIAL"</formula>
      <formula>"ITAÚ FILIAL"</formula>
    </cfRule>
    <cfRule type="cellIs" dxfId="5217" priority="8519" operator="between">
      <formula>"ITAÚ MATRIZ"</formula>
      <formula>"ITAÚ MATRIZ"</formula>
    </cfRule>
    <cfRule type="cellIs" dxfId="5216" priority="8520" operator="equal">
      <formula>"ITAÚ"</formula>
    </cfRule>
    <cfRule type="cellIs" dxfId="5215" priority="8521" operator="equal">
      <formula>"ITAÚ"</formula>
    </cfRule>
    <cfRule type="cellIs" dxfId="5214" priority="8522" operator="between">
      <formula>"SAFRA"</formula>
      <formula>"SAFRA"</formula>
    </cfRule>
    <cfRule type="cellIs" dxfId="5213" priority="8523" operator="between">
      <formula>"SAFRA"</formula>
      <formula>"SAFRA"</formula>
    </cfRule>
    <cfRule type="cellIs" dxfId="5212" priority="8524" operator="between">
      <formula>"DAYCOVAL"</formula>
      <formula>"DAYCOVAL"</formula>
    </cfRule>
    <cfRule type="cellIs" dxfId="5211" priority="8525" operator="between">
      <formula>"ITAÚ FILIAL"</formula>
      <formula>"ITAÚ FILIAL"</formula>
    </cfRule>
    <cfRule type="cellIs" dxfId="5210" priority="8526" operator="between">
      <formula>"ITAÚ FILIAL"</formula>
      <formula>"ITAÚ FILIAL"</formula>
    </cfRule>
    <cfRule type="cellIs" dxfId="5209" priority="8527" operator="equal">
      <formula>"ITAÚ"</formula>
    </cfRule>
    <cfRule type="cellIs" dxfId="5208" priority="8528" operator="equal">
      <formula>"ITAÚ MATRIZ"</formula>
    </cfRule>
    <cfRule type="cellIs" dxfId="5207" priority="8529" operator="between">
      <formula>"ITAÚ MATRIZ"</formula>
      <formula>"ITAÚ MATRIZ"</formula>
    </cfRule>
    <cfRule type="cellIs" dxfId="5206" priority="8530" operator="equal">
      <formula>"ITAÚ"</formula>
    </cfRule>
    <cfRule type="cellIs" dxfId="5205" priority="8533" operator="between">
      <formula>"DAYCOVAL"</formula>
      <formula>"DAYCOVAL"</formula>
    </cfRule>
    <cfRule type="cellIs" dxfId="5204" priority="8534" operator="between">
      <formula>"ITAÚ FILIAL"</formula>
      <formula>"ITAÚ FILIAL"</formula>
    </cfRule>
    <cfRule type="cellIs" dxfId="5203" priority="8535" operator="between">
      <formula>"ITAÚ FILIAL"</formula>
      <formula>"ITAÚ FILIAL"</formula>
    </cfRule>
    <cfRule type="cellIs" dxfId="5202" priority="8439" operator="between">
      <formula>"ITAÚ MATRIZ"</formula>
      <formula>"ITAÚ MATRIZ"</formula>
    </cfRule>
  </conditionalFormatting>
  <conditionalFormatting sqref="I131:I157">
    <cfRule type="cellIs" dxfId="5201" priority="8539" operator="equal">
      <formula>"ITAÚ"</formula>
    </cfRule>
    <cfRule type="cellIs" dxfId="5200" priority="8537" operator="equal">
      <formula>"ITAÚ MATRIZ"</formula>
    </cfRule>
    <cfRule type="cellIs" dxfId="5199" priority="8531" operator="between">
      <formula>"SAFRA"</formula>
      <formula>"SAFRA"</formula>
    </cfRule>
    <cfRule type="cellIs" dxfId="5198" priority="8532" operator="between">
      <formula>"SAFRA"</formula>
      <formula>"SAFRA"</formula>
    </cfRule>
    <cfRule type="cellIs" dxfId="5197" priority="8536" operator="equal">
      <formula>"ITAÚ"</formula>
    </cfRule>
  </conditionalFormatting>
  <conditionalFormatting sqref="I155:I157">
    <cfRule type="cellIs" dxfId="5196" priority="12808" operator="between">
      <formula>"DAYCOVAL"</formula>
      <formula>"DAYCOVAL"</formula>
    </cfRule>
    <cfRule type="cellIs" dxfId="5195" priority="12709" operator="between">
      <formula>"DAYCOVAL"</formula>
      <formula>"DAYCOVAL"</formula>
    </cfRule>
    <cfRule type="cellIs" dxfId="5194" priority="12718" operator="between">
      <formula>"DAYCOVAL"</formula>
      <formula>"DAYCOVAL"</formula>
    </cfRule>
    <cfRule type="cellIs" dxfId="5193" priority="12719" operator="between">
      <formula>"ITAÚ FILIAL"</formula>
      <formula>"ITAÚ FILIAL"</formula>
    </cfRule>
    <cfRule type="cellIs" dxfId="5192" priority="12720" operator="between">
      <formula>"ITAÚ FILIAL"</formula>
      <formula>"ITAÚ FILIAL"</formula>
    </cfRule>
    <cfRule type="cellIs" dxfId="5191" priority="12717" operator="between">
      <formula>"SAFRA"</formula>
      <formula>"SAFRA"</formula>
    </cfRule>
    <cfRule type="cellIs" dxfId="5190" priority="12716" operator="between">
      <formula>"SAFRA"</formula>
      <formula>"SAFRA"</formula>
    </cfRule>
    <cfRule type="cellIs" dxfId="5189" priority="12721" operator="between">
      <formula>"ITAÚ MATRIZ"</formula>
      <formula>"ITAÚ MATRIZ"</formula>
    </cfRule>
    <cfRule type="cellIs" dxfId="5188" priority="12722" operator="equal">
      <formula>"ITAÚ"</formula>
    </cfRule>
    <cfRule type="cellIs" dxfId="5187" priority="12723" operator="equal">
      <formula>"ITAÚ"</formula>
    </cfRule>
    <cfRule type="cellIs" dxfId="5186" priority="12724" operator="between">
      <formula>"SAFRA"</formula>
      <formula>"SAFRA"</formula>
    </cfRule>
    <cfRule type="cellIs" dxfId="5185" priority="12725" operator="between">
      <formula>"SAFRA"</formula>
      <formula>"SAFRA"</formula>
    </cfRule>
    <cfRule type="cellIs" dxfId="5184" priority="12726" operator="between">
      <formula>"DAYCOVAL"</formula>
      <formula>"DAYCOVAL"</formula>
    </cfRule>
    <cfRule type="cellIs" dxfId="5183" priority="12727" operator="between">
      <formula>"ITAÚ FILIAL"</formula>
      <formula>"ITAÚ FILIAL"</formula>
    </cfRule>
    <cfRule type="cellIs" dxfId="5182" priority="12728" operator="between">
      <formula>"ITAÚ FILIAL"</formula>
      <formula>"ITAÚ FILIAL"</formula>
    </cfRule>
    <cfRule type="cellIs" dxfId="5181" priority="12729" operator="equal">
      <formula>"ITAÚ"</formula>
    </cfRule>
    <cfRule type="cellIs" dxfId="5180" priority="12730" operator="equal">
      <formula>"ITAÚ MATRIZ"</formula>
    </cfRule>
    <cfRule type="cellIs" dxfId="5179" priority="12731" operator="between">
      <formula>"ITAÚ MATRIZ"</formula>
      <formula>"ITAÚ MATRIZ"</formula>
    </cfRule>
    <cfRule type="cellIs" dxfId="5178" priority="12732" operator="equal">
      <formula>"ITAÚ"</formula>
    </cfRule>
    <cfRule type="cellIs" dxfId="5177" priority="12733" operator="equal">
      <formula>"ITAÚ MATRIZ"</formula>
    </cfRule>
    <cfRule type="cellIs" dxfId="5176" priority="12734" operator="between">
      <formula>"SAFRA"</formula>
      <formula>"SAFRA"</formula>
    </cfRule>
    <cfRule type="cellIs" dxfId="5175" priority="12735" operator="between">
      <formula>"SAFRA"</formula>
      <formula>"SAFRA"</formula>
    </cfRule>
    <cfRule type="cellIs" dxfId="5174" priority="12736" operator="between">
      <formula>"DAYCOVAL"</formula>
      <formula>"DAYCOVAL"</formula>
    </cfRule>
    <cfRule type="cellIs" dxfId="5173" priority="12737" operator="between">
      <formula>"ITAÚ FILIAL"</formula>
      <formula>"ITAÚ FILIAL"</formula>
    </cfRule>
    <cfRule type="cellIs" dxfId="5172" priority="12738" operator="between">
      <formula>"ITAÚ FILIAL"</formula>
      <formula>"ITAÚ FILIAL"</formula>
    </cfRule>
    <cfRule type="cellIs" dxfId="5171" priority="12739" operator="between">
      <formula>"ITAÚ MATRIZ"</formula>
      <formula>"ITAÚ MATRIZ"</formula>
    </cfRule>
    <cfRule type="cellIs" dxfId="5170" priority="12740" operator="equal">
      <formula>"ITAÚ"</formula>
    </cfRule>
    <cfRule type="cellIs" dxfId="5169" priority="12741" operator="equal">
      <formula>"ITAÚ"</formula>
    </cfRule>
    <cfRule type="cellIs" dxfId="5168" priority="12742" operator="equal">
      <formula>"ITAÚ MATRIZ"</formula>
    </cfRule>
    <cfRule type="cellIs" dxfId="5167" priority="12743" operator="between">
      <formula>"SAFRA"</formula>
      <formula>"SAFRA"</formula>
    </cfRule>
    <cfRule type="cellIs" dxfId="5166" priority="12744" operator="between">
      <formula>"SAFRA"</formula>
      <formula>"SAFRA"</formula>
    </cfRule>
    <cfRule type="cellIs" dxfId="5165" priority="12745" operator="between">
      <formula>"DAYCOVAL"</formula>
      <formula>"DAYCOVAL"</formula>
    </cfRule>
    <cfRule type="cellIs" dxfId="5164" priority="12746" operator="between">
      <formula>"ITAÚ FILIAL"</formula>
      <formula>"ITAÚ FILIAL"</formula>
    </cfRule>
    <cfRule type="cellIs" dxfId="5163" priority="12747" operator="between">
      <formula>"ITAÚ FILIAL"</formula>
      <formula>"ITAÚ FILIAL"</formula>
    </cfRule>
    <cfRule type="cellIs" dxfId="5162" priority="12748" operator="between">
      <formula>"ITAÚ MATRIZ"</formula>
      <formula>"ITAÚ MATRIZ"</formula>
    </cfRule>
    <cfRule type="cellIs" dxfId="5161" priority="12749" operator="equal">
      <formula>"ITAÚ"</formula>
    </cfRule>
    <cfRule type="cellIs" dxfId="5160" priority="12750" operator="equal">
      <formula>"ITAÚ"</formula>
    </cfRule>
    <cfRule type="cellIs" dxfId="5159" priority="12751" operator="equal">
      <formula>"ITAÚ MATRIZ"</formula>
    </cfRule>
    <cfRule type="cellIs" dxfId="5158" priority="12752" operator="between">
      <formula>"SAFRA"</formula>
      <formula>"SAFRA"</formula>
    </cfRule>
    <cfRule type="cellIs" dxfId="5157" priority="12753" operator="between">
      <formula>"SAFRA"</formula>
      <formula>"SAFRA"</formula>
    </cfRule>
    <cfRule type="cellIs" dxfId="5156" priority="12754" operator="between">
      <formula>"DAYCOVAL"</formula>
      <formula>"DAYCOVAL"</formula>
    </cfRule>
    <cfRule type="cellIs" dxfId="5155" priority="12755" operator="between">
      <formula>"ITAÚ FILIAL"</formula>
      <formula>"ITAÚ FILIAL"</formula>
    </cfRule>
    <cfRule type="cellIs" dxfId="5154" priority="12756" operator="between">
      <formula>"ITAÚ FILIAL"</formula>
      <formula>"ITAÚ FILIAL"</formula>
    </cfRule>
    <cfRule type="cellIs" dxfId="5153" priority="12757" operator="between">
      <formula>"ITAÚ MATRIZ"</formula>
      <formula>"ITAÚ MATRIZ"</formula>
    </cfRule>
    <cfRule type="cellIs" dxfId="5152" priority="12758" operator="equal">
      <formula>"ITAÚ"</formula>
    </cfRule>
    <cfRule type="cellIs" dxfId="5151" priority="12759" operator="equal">
      <formula>"ITAÚ"</formula>
    </cfRule>
    <cfRule type="cellIs" dxfId="5150" priority="12760" operator="equal">
      <formula>"ITAÚ MATRIZ"</formula>
    </cfRule>
    <cfRule type="cellIs" dxfId="5149" priority="12761" operator="between">
      <formula>"SAFRA"</formula>
      <formula>"SAFRA"</formula>
    </cfRule>
    <cfRule type="cellIs" dxfId="5148" priority="12762" operator="between">
      <formula>"SAFRA"</formula>
      <formula>"SAFRA"</formula>
    </cfRule>
    <cfRule type="cellIs" dxfId="5147" priority="12763" operator="between">
      <formula>"DAYCOVAL"</formula>
      <formula>"DAYCOVAL"</formula>
    </cfRule>
    <cfRule type="cellIs" dxfId="5146" priority="12764" operator="between">
      <formula>"ITAÚ FILIAL"</formula>
      <formula>"ITAÚ FILIAL"</formula>
    </cfRule>
    <cfRule type="cellIs" dxfId="5145" priority="12765" operator="between">
      <formula>"ITAÚ FILIAL"</formula>
      <formula>"ITAÚ FILIAL"</formula>
    </cfRule>
    <cfRule type="cellIs" dxfId="5144" priority="12766" operator="between">
      <formula>"ITAÚ MATRIZ"</formula>
      <formula>"ITAÚ MATRIZ"</formula>
    </cfRule>
    <cfRule type="cellIs" dxfId="5143" priority="12767" operator="equal">
      <formula>"ITAÚ"</formula>
    </cfRule>
    <cfRule type="cellIs" dxfId="5142" priority="12768" operator="equal">
      <formula>"ITAÚ"</formula>
    </cfRule>
    <cfRule type="cellIs" dxfId="5141" priority="12769" operator="equal">
      <formula>"ITAÚ MATRIZ"</formula>
    </cfRule>
    <cfRule type="cellIs" dxfId="5140" priority="12770" operator="between">
      <formula>"SAFRA"</formula>
      <formula>"SAFRA"</formula>
    </cfRule>
    <cfRule type="cellIs" dxfId="5139" priority="12771" operator="between">
      <formula>"SAFRA"</formula>
      <formula>"SAFRA"</formula>
    </cfRule>
    <cfRule type="cellIs" dxfId="5138" priority="12772" operator="between">
      <formula>"DAYCOVAL"</formula>
      <formula>"DAYCOVAL"</formula>
    </cfRule>
    <cfRule type="cellIs" dxfId="5137" priority="12773" operator="between">
      <formula>"ITAÚ FILIAL"</formula>
      <formula>"ITAÚ FILIAL"</formula>
    </cfRule>
    <cfRule type="cellIs" dxfId="5136" priority="12774" operator="between">
      <formula>"ITAÚ FILIAL"</formula>
      <formula>"ITAÚ FILIAL"</formula>
    </cfRule>
    <cfRule type="cellIs" dxfId="5135" priority="12775" operator="between">
      <formula>"ITAÚ MATRIZ"</formula>
      <formula>"ITAÚ MATRIZ"</formula>
    </cfRule>
    <cfRule type="cellIs" dxfId="5134" priority="12776" operator="equal">
      <formula>"ITAÚ"</formula>
    </cfRule>
    <cfRule type="cellIs" dxfId="5133" priority="12777" operator="equal">
      <formula>"ITAÚ"</formula>
    </cfRule>
    <cfRule type="cellIs" dxfId="5132" priority="12778" operator="between">
      <formula>"SAFRA"</formula>
      <formula>"SAFRA"</formula>
    </cfRule>
    <cfRule type="cellIs" dxfId="5131" priority="12779" operator="between">
      <formula>"SAFRA"</formula>
      <formula>"SAFRA"</formula>
    </cfRule>
    <cfRule type="cellIs" dxfId="5130" priority="12780" operator="between">
      <formula>"DAYCOVAL"</formula>
      <formula>"DAYCOVAL"</formula>
    </cfRule>
    <cfRule type="cellIs" dxfId="5129" priority="12781" operator="between">
      <formula>"ITAÚ FILIAL"</formula>
      <formula>"ITAÚ FILIAL"</formula>
    </cfRule>
    <cfRule type="cellIs" dxfId="5128" priority="12782" operator="between">
      <formula>"ITAÚ FILIAL"</formula>
      <formula>"ITAÚ FILIAL"</formula>
    </cfRule>
    <cfRule type="cellIs" dxfId="5127" priority="12783" operator="equal">
      <formula>"ITAÚ"</formula>
    </cfRule>
    <cfRule type="cellIs" dxfId="5126" priority="12784" operator="equal">
      <formula>"ITAÚ MATRIZ"</formula>
    </cfRule>
    <cfRule type="cellIs" dxfId="5125" priority="12785" operator="between">
      <formula>"ITAÚ MATRIZ"</formula>
      <formula>"ITAÚ MATRIZ"</formula>
    </cfRule>
    <cfRule type="cellIs" dxfId="5124" priority="12786" operator="equal">
      <formula>"ITAÚ"</formula>
    </cfRule>
    <cfRule type="cellIs" dxfId="5123" priority="12787" operator="equal">
      <formula>"ITAÚ MATRIZ"</formula>
    </cfRule>
    <cfRule type="cellIs" dxfId="5122" priority="12788" operator="between">
      <formula>"SAFRA"</formula>
      <formula>"SAFRA"</formula>
    </cfRule>
    <cfRule type="cellIs" dxfId="5121" priority="12789" operator="between">
      <formula>"SAFRA"</formula>
      <formula>"SAFRA"</formula>
    </cfRule>
    <cfRule type="cellIs" dxfId="5120" priority="12790" operator="between">
      <formula>"DAYCOVAL"</formula>
      <formula>"DAYCOVAL"</formula>
    </cfRule>
    <cfRule type="cellIs" dxfId="5119" priority="12791" operator="between">
      <formula>"ITAÚ FILIAL"</formula>
      <formula>"ITAÚ FILIAL"</formula>
    </cfRule>
    <cfRule type="cellIs" dxfId="5118" priority="12792" operator="between">
      <formula>"ITAÚ FILIAL"</formula>
      <formula>"ITAÚ FILIAL"</formula>
    </cfRule>
    <cfRule type="cellIs" dxfId="5117" priority="12793" operator="between">
      <formula>"ITAÚ MATRIZ"</formula>
      <formula>"ITAÚ MATRIZ"</formula>
    </cfRule>
    <cfRule type="cellIs" dxfId="5116" priority="12794" operator="equal">
      <formula>"ITAÚ"</formula>
    </cfRule>
    <cfRule type="cellIs" dxfId="5115" priority="12795" operator="equal">
      <formula>"ITAÚ"</formula>
    </cfRule>
    <cfRule type="cellIs" dxfId="5114" priority="12796" operator="between">
      <formula>"SAFRA"</formula>
      <formula>"SAFRA"</formula>
    </cfRule>
    <cfRule type="cellIs" dxfId="5113" priority="12797" operator="between">
      <formula>"SAFRA"</formula>
      <formula>"SAFRA"</formula>
    </cfRule>
    <cfRule type="cellIs" dxfId="5112" priority="12798" operator="between">
      <formula>"DAYCOVAL"</formula>
      <formula>"DAYCOVAL"</formula>
    </cfRule>
    <cfRule type="cellIs" dxfId="5111" priority="12799" operator="between">
      <formula>"ITAÚ FILIAL"</formula>
      <formula>"ITAÚ FILIAL"</formula>
    </cfRule>
    <cfRule type="cellIs" dxfId="5110" priority="12800" operator="between">
      <formula>"ITAÚ FILIAL"</formula>
      <formula>"ITAÚ FILIAL"</formula>
    </cfRule>
    <cfRule type="cellIs" dxfId="5109" priority="12801" operator="equal">
      <formula>"ITAÚ"</formula>
    </cfRule>
    <cfRule type="cellIs" dxfId="5108" priority="12802" operator="equal">
      <formula>"ITAÚ MATRIZ"</formula>
    </cfRule>
    <cfRule type="cellIs" dxfId="5107" priority="12803" operator="between">
      <formula>"ITAÚ MATRIZ"</formula>
      <formula>"ITAÚ MATRIZ"</formula>
    </cfRule>
    <cfRule type="cellIs" dxfId="5106" priority="12804" operator="equal">
      <formula>"ITAÚ"</formula>
    </cfRule>
    <cfRule type="cellIs" dxfId="5105" priority="12805" operator="equal">
      <formula>"ITAÚ MATRIZ"</formula>
    </cfRule>
    <cfRule type="cellIs" dxfId="5104" priority="12806" operator="between">
      <formula>"SAFRA"</formula>
      <formula>"SAFRA"</formula>
    </cfRule>
    <cfRule type="cellIs" dxfId="5103" priority="12807" operator="between">
      <formula>"SAFRA"</formula>
      <formula>"SAFRA"</formula>
    </cfRule>
    <cfRule type="cellIs" dxfId="5102" priority="12715" operator="equal">
      <formula>"ITAÚ MATRIZ"</formula>
    </cfRule>
    <cfRule type="cellIs" dxfId="5101" priority="12809" operator="between">
      <formula>"ITAÚ FILIAL"</formula>
      <formula>"ITAÚ FILIAL"</formula>
    </cfRule>
    <cfRule type="cellIs" dxfId="5100" priority="12810" operator="between">
      <formula>"ITAÚ FILIAL"</formula>
      <formula>"ITAÚ FILIAL"</formula>
    </cfRule>
    <cfRule type="cellIs" dxfId="5099" priority="12712" operator="between">
      <formula>"ITAÚ MATRIZ"</formula>
      <formula>"ITAÚ MATRIZ"</formula>
    </cfRule>
    <cfRule type="cellIs" dxfId="5098" priority="12812" operator="equal">
      <formula>"ITAÚ"</formula>
    </cfRule>
    <cfRule type="cellIs" dxfId="5097" priority="12813" operator="equal">
      <formula>"ITAÚ"</formula>
    </cfRule>
    <cfRule type="cellIs" dxfId="5096" priority="12814" operator="equal">
      <formula>"ITAÚ MATRIZ"</formula>
    </cfRule>
    <cfRule type="cellIs" dxfId="5095" priority="12815" operator="between">
      <formula>"SAFRA"</formula>
      <formula>"SAFRA"</formula>
    </cfRule>
    <cfRule type="cellIs" dxfId="5094" priority="12816" operator="between">
      <formula>"SAFRA"</formula>
      <formula>"SAFRA"</formula>
    </cfRule>
    <cfRule type="cellIs" dxfId="5093" priority="12817" operator="between">
      <formula>"DAYCOVAL"</formula>
      <formula>"DAYCOVAL"</formula>
    </cfRule>
    <cfRule type="cellIs" dxfId="5092" priority="12818" operator="between">
      <formula>"ITAÚ FILIAL"</formula>
      <formula>"ITAÚ FILIAL"</formula>
    </cfRule>
    <cfRule type="cellIs" dxfId="5091" priority="12819" operator="between">
      <formula>"ITAÚ FILIAL"</formula>
      <formula>"ITAÚ FILIAL"</formula>
    </cfRule>
    <cfRule type="cellIs" dxfId="5090" priority="12820" operator="between">
      <formula>"ITAÚ MATRIZ"</formula>
      <formula>"ITAÚ MATRIZ"</formula>
    </cfRule>
    <cfRule type="cellIs" dxfId="5089" priority="12821" operator="equal">
      <formula>"ITAÚ"</formula>
    </cfRule>
    <cfRule type="cellIs" dxfId="5088" priority="12822" operator="equal">
      <formula>"ITAÚ"</formula>
    </cfRule>
    <cfRule type="cellIs" dxfId="5087" priority="12823" operator="equal">
      <formula>"ITAÚ MATRIZ"</formula>
    </cfRule>
    <cfRule type="cellIs" dxfId="5086" priority="12824" operator="between">
      <formula>"SAFRA"</formula>
      <formula>"SAFRA"</formula>
    </cfRule>
    <cfRule type="cellIs" dxfId="5085" priority="12825" operator="between">
      <formula>"SAFRA"</formula>
      <formula>"SAFRA"</formula>
    </cfRule>
    <cfRule type="cellIs" dxfId="5084" priority="12826" operator="between">
      <formula>"DAYCOVAL"</formula>
      <formula>"DAYCOVAL"</formula>
    </cfRule>
    <cfRule type="cellIs" dxfId="5083" priority="12827" operator="between">
      <formula>"ITAÚ FILIAL"</formula>
      <formula>"ITAÚ FILIAL"</formula>
    </cfRule>
    <cfRule type="cellIs" dxfId="5082" priority="12828" operator="between">
      <formula>"ITAÚ FILIAL"</formula>
      <formula>"ITAÚ FILIAL"</formula>
    </cfRule>
    <cfRule type="cellIs" dxfId="5081" priority="12829" operator="between">
      <formula>"ITAÚ MATRIZ"</formula>
      <formula>"ITAÚ MATRIZ"</formula>
    </cfRule>
    <cfRule type="cellIs" dxfId="5080" priority="12830" operator="equal">
      <formula>"ITAÚ"</formula>
    </cfRule>
    <cfRule type="cellIs" dxfId="5079" priority="12831" operator="equal">
      <formula>"ITAÚ"</formula>
    </cfRule>
    <cfRule type="cellIs" dxfId="5078" priority="12832" operator="equal">
      <formula>"ITAÚ MATRIZ"</formula>
    </cfRule>
    <cfRule type="cellIs" dxfId="5077" priority="12833" operator="between">
      <formula>"SAFRA"</formula>
      <formula>"SAFRA"</formula>
    </cfRule>
    <cfRule type="cellIs" dxfId="5076" priority="12834" operator="between">
      <formula>"SAFRA"</formula>
      <formula>"SAFRA"</formula>
    </cfRule>
    <cfRule type="cellIs" dxfId="5075" priority="12835" operator="between">
      <formula>"DAYCOVAL"</formula>
      <formula>"DAYCOVAL"</formula>
    </cfRule>
    <cfRule type="cellIs" dxfId="5074" priority="12836" operator="between">
      <formula>"ITAÚ FILIAL"</formula>
      <formula>"ITAÚ FILIAL"</formula>
    </cfRule>
    <cfRule type="cellIs" dxfId="5073" priority="12837" operator="between">
      <formula>"ITAÚ FILIAL"</formula>
      <formula>"ITAÚ FILIAL"</formula>
    </cfRule>
    <cfRule type="cellIs" dxfId="5072" priority="12838" operator="between">
      <formula>"ITAÚ MATRIZ"</formula>
      <formula>"ITAÚ MATRIZ"</formula>
    </cfRule>
    <cfRule type="cellIs" dxfId="5071" priority="12839" operator="equal">
      <formula>"ITAÚ"</formula>
    </cfRule>
    <cfRule type="cellIs" dxfId="5070" priority="12840" operator="equal">
      <formula>"ITAÚ"</formula>
    </cfRule>
    <cfRule type="cellIs" dxfId="5069" priority="12841" operator="equal">
      <formula>"ITAÚ MATRIZ"</formula>
    </cfRule>
    <cfRule type="cellIs" dxfId="5068" priority="12842" operator="between">
      <formula>"SAFRA"</formula>
      <formula>"SAFRA"</formula>
    </cfRule>
    <cfRule type="cellIs" dxfId="5067" priority="12843" operator="between">
      <formula>"SAFRA"</formula>
      <formula>"SAFRA"</formula>
    </cfRule>
    <cfRule type="cellIs" dxfId="5066" priority="12844" operator="between">
      <formula>"DAYCOVAL"</formula>
      <formula>"DAYCOVAL"</formula>
    </cfRule>
    <cfRule type="cellIs" dxfId="5065" priority="12845" operator="between">
      <formula>"ITAÚ FILIAL"</formula>
      <formula>"ITAÚ FILIAL"</formula>
    </cfRule>
    <cfRule type="cellIs" dxfId="5064" priority="12846" operator="between">
      <formula>"ITAÚ FILIAL"</formula>
      <formula>"ITAÚ FILIAL"</formula>
    </cfRule>
    <cfRule type="cellIs" dxfId="5063" priority="12847" operator="between">
      <formula>"ITAÚ MATRIZ"</formula>
      <formula>"ITAÚ MATRIZ"</formula>
    </cfRule>
    <cfRule type="cellIs" dxfId="5062" priority="12848" operator="equal">
      <formula>"ITAÚ"</formula>
    </cfRule>
    <cfRule type="cellIs" dxfId="5061" priority="12849" operator="equal">
      <formula>"ITAÚ"</formula>
    </cfRule>
    <cfRule type="cellIs" dxfId="5060" priority="12850" operator="between">
      <formula>"SAFRA"</formula>
      <formula>"SAFRA"</formula>
    </cfRule>
    <cfRule type="cellIs" dxfId="5059" priority="12851" operator="between">
      <formula>"SAFRA"</formula>
      <formula>"SAFRA"</formula>
    </cfRule>
    <cfRule type="cellIs" dxfId="5058" priority="12852" operator="between">
      <formula>"DAYCOVAL"</formula>
      <formula>"DAYCOVAL"</formula>
    </cfRule>
    <cfRule type="cellIs" dxfId="5057" priority="12853" operator="between">
      <formula>"ITAÚ FILIAL"</formula>
      <formula>"ITAÚ FILIAL"</formula>
    </cfRule>
    <cfRule type="cellIs" dxfId="5056" priority="12854" operator="between">
      <formula>"ITAÚ FILIAL"</formula>
      <formula>"ITAÚ FILIAL"</formula>
    </cfRule>
    <cfRule type="cellIs" dxfId="5055" priority="12855" operator="equal">
      <formula>"ITAÚ"</formula>
    </cfRule>
    <cfRule type="cellIs" dxfId="5054" priority="12856" operator="equal">
      <formula>"ITAÚ MATRIZ"</formula>
    </cfRule>
    <cfRule type="cellIs" dxfId="5053" priority="12857" operator="between">
      <formula>"ITAÚ MATRIZ"</formula>
      <formula>"ITAÚ MATRIZ"</formula>
    </cfRule>
    <cfRule type="cellIs" dxfId="5052" priority="12858" operator="equal">
      <formula>"ITAÚ"</formula>
    </cfRule>
    <cfRule type="cellIs" dxfId="5051" priority="12859" operator="equal">
      <formula>"ITAÚ MATRIZ"</formula>
    </cfRule>
    <cfRule type="cellIs" dxfId="5050" priority="12860" operator="between">
      <formula>"SAFRA"</formula>
      <formula>"SAFRA"</formula>
    </cfRule>
    <cfRule type="cellIs" dxfId="5049" priority="12861" operator="between">
      <formula>"SAFRA"</formula>
      <formula>"SAFRA"</formula>
    </cfRule>
    <cfRule type="cellIs" dxfId="5048" priority="12862" operator="between">
      <formula>"DAYCOVAL"</formula>
      <formula>"DAYCOVAL"</formula>
    </cfRule>
    <cfRule type="cellIs" dxfId="5047" priority="12863" operator="between">
      <formula>"ITAÚ FILIAL"</formula>
      <formula>"ITAÚ FILIAL"</formula>
    </cfRule>
    <cfRule type="cellIs" dxfId="5046" priority="12864" operator="between">
      <formula>"ITAÚ FILIAL"</formula>
      <formula>"ITAÚ FILIAL"</formula>
    </cfRule>
    <cfRule type="cellIs" dxfId="5045" priority="12865" operator="between">
      <formula>"ITAÚ MATRIZ"</formula>
      <formula>"ITAÚ MATRIZ"</formula>
    </cfRule>
    <cfRule type="cellIs" dxfId="5044" priority="12866" operator="equal">
      <formula>"ITAÚ"</formula>
    </cfRule>
    <cfRule type="cellIs" dxfId="5043" priority="12867" operator="equal">
      <formula>"ITAÚ"</formula>
    </cfRule>
    <cfRule type="cellIs" dxfId="5042" priority="12868" operator="between">
      <formula>"SAFRA"</formula>
      <formula>"SAFRA"</formula>
    </cfRule>
    <cfRule type="cellIs" dxfId="5041" priority="12869" operator="between">
      <formula>"SAFRA"</formula>
      <formula>"SAFRA"</formula>
    </cfRule>
    <cfRule type="cellIs" dxfId="5040" priority="12870" operator="between">
      <formula>"DAYCOVAL"</formula>
      <formula>"DAYCOVAL"</formula>
    </cfRule>
    <cfRule type="cellIs" dxfId="5039" priority="12871" operator="between">
      <formula>"ITAÚ FILIAL"</formula>
      <formula>"ITAÚ FILIAL"</formula>
    </cfRule>
    <cfRule type="cellIs" dxfId="5038" priority="12872" operator="between">
      <formula>"ITAÚ FILIAL"</formula>
      <formula>"ITAÚ FILIAL"</formula>
    </cfRule>
    <cfRule type="cellIs" dxfId="5037" priority="12873" operator="equal">
      <formula>"ITAÚ"</formula>
    </cfRule>
    <cfRule type="cellIs" dxfId="5036" priority="12874" operator="equal">
      <formula>"ITAÚ MATRIZ"</formula>
    </cfRule>
    <cfRule type="cellIs" dxfId="5035" priority="12875" operator="between">
      <formula>"ITAÚ MATRIZ"</formula>
      <formula>"ITAÚ MATRIZ"</formula>
    </cfRule>
    <cfRule type="cellIs" dxfId="5034" priority="12876" operator="equal">
      <formula>"ITAÚ"</formula>
    </cfRule>
    <cfRule type="cellIs" dxfId="5033" priority="12877" operator="equal">
      <formula>"ITAÚ MATRIZ"</formula>
    </cfRule>
    <cfRule type="cellIs" dxfId="5032" priority="12878" operator="between">
      <formula>"SAFRA"</formula>
      <formula>"SAFRA"</formula>
    </cfRule>
    <cfRule type="cellIs" dxfId="5031" priority="12879" operator="between">
      <formula>"SAFRA"</formula>
      <formula>"SAFRA"</formula>
    </cfRule>
    <cfRule type="cellIs" dxfId="5030" priority="12880" operator="between">
      <formula>"DAYCOVAL"</formula>
      <formula>"DAYCOVAL"</formula>
    </cfRule>
    <cfRule type="cellIs" dxfId="5029" priority="12881" operator="between">
      <formula>"ITAÚ FILIAL"</formula>
      <formula>"ITAÚ FILIAL"</formula>
    </cfRule>
    <cfRule type="cellIs" dxfId="5028" priority="12882" operator="between">
      <formula>"ITAÚ FILIAL"</formula>
      <formula>"ITAÚ FILIAL"</formula>
    </cfRule>
    <cfRule type="cellIs" dxfId="5027" priority="12883" operator="between">
      <formula>"ITAÚ MATRIZ"</formula>
      <formula>"ITAÚ MATRIZ"</formula>
    </cfRule>
    <cfRule type="cellIs" dxfId="5026" priority="12884" operator="equal">
      <formula>"ITAÚ"</formula>
    </cfRule>
    <cfRule type="cellIs" dxfId="5025" priority="12885" operator="equal">
      <formula>"ITAÚ"</formula>
    </cfRule>
    <cfRule type="cellIs" dxfId="5024" priority="12886" operator="between">
      <formula>"SAFRA"</formula>
      <formula>"SAFRA"</formula>
    </cfRule>
    <cfRule type="cellIs" dxfId="5023" priority="12887" operator="between">
      <formula>"SAFRA"</formula>
      <formula>"SAFRA"</formula>
    </cfRule>
    <cfRule type="cellIs" dxfId="5022" priority="12888" operator="between">
      <formula>"DAYCOVAL"</formula>
      <formula>"DAYCOVAL"</formula>
    </cfRule>
    <cfRule type="cellIs" dxfId="5021" priority="12889" operator="between">
      <formula>"ITAÚ FILIAL"</formula>
      <formula>"ITAÚ FILIAL"</formula>
    </cfRule>
    <cfRule type="cellIs" dxfId="5020" priority="12890" operator="between">
      <formula>"ITAÚ FILIAL"</formula>
      <formula>"ITAÚ FILIAL"</formula>
    </cfRule>
    <cfRule type="cellIs" dxfId="5019" priority="12891" operator="equal">
      <formula>"ITAÚ"</formula>
    </cfRule>
    <cfRule type="cellIs" dxfId="5018" priority="12892" operator="equal">
      <formula>"ITAÚ MATRIZ"</formula>
    </cfRule>
    <cfRule type="cellIs" dxfId="5017" priority="12893" operator="between">
      <formula>"ITAÚ MATRIZ"</formula>
      <formula>"ITAÚ MATRIZ"</formula>
    </cfRule>
    <cfRule type="cellIs" dxfId="5016" priority="12894" operator="equal">
      <formula>"ITAÚ"</formula>
    </cfRule>
    <cfRule type="cellIs" dxfId="5015" priority="12895" operator="between">
      <formula>"SAFRA"</formula>
      <formula>"SAFRA"</formula>
    </cfRule>
    <cfRule type="cellIs" dxfId="5014" priority="12896" operator="between">
      <formula>"SAFRA"</formula>
      <formula>"SAFRA"</formula>
    </cfRule>
    <cfRule type="cellIs" dxfId="5013" priority="12897" operator="between">
      <formula>"DAYCOVAL"</formula>
      <formula>"DAYCOVAL"</formula>
    </cfRule>
    <cfRule type="cellIs" dxfId="5012" priority="12898" operator="between">
      <formula>"ITAÚ FILIAL"</formula>
      <formula>"ITAÚ FILIAL"</formula>
    </cfRule>
    <cfRule type="cellIs" dxfId="5011" priority="12899" operator="between">
      <formula>"ITAÚ FILIAL"</formula>
      <formula>"ITAÚ FILIAL"</formula>
    </cfRule>
    <cfRule type="cellIs" dxfId="5010" priority="12900" operator="equal">
      <formula>"ITAÚ"</formula>
    </cfRule>
    <cfRule type="cellIs" dxfId="5009" priority="12901" operator="equal">
      <formula>"ITAÚ MATRIZ"</formula>
    </cfRule>
    <cfRule type="cellIs" dxfId="5008" priority="12902" operator="between">
      <formula>"ITAÚ MATRIZ"</formula>
      <formula>"ITAÚ MATRIZ"</formula>
    </cfRule>
    <cfRule type="cellIs" dxfId="5007" priority="12903" operator="equal">
      <formula>"ITAÚ"</formula>
    </cfRule>
    <cfRule type="cellIs" dxfId="5006" priority="12711" operator="between">
      <formula>"ITAÚ FILIAL"</formula>
      <formula>"ITAÚ FILIAL"</formula>
    </cfRule>
    <cfRule type="cellIs" dxfId="5005" priority="12710" operator="between">
      <formula>"ITAÚ FILIAL"</formula>
      <formula>"ITAÚ FILIAL"</formula>
    </cfRule>
    <cfRule type="cellIs" dxfId="5004" priority="12811" operator="between">
      <formula>"ITAÚ MATRIZ"</formula>
      <formula>"ITAÚ MATRIZ"</formula>
    </cfRule>
  </conditionalFormatting>
  <conditionalFormatting sqref="I158:I160">
    <cfRule type="cellIs" dxfId="5003" priority="8169" operator="between">
      <formula>"ITAÚ FILIAL"</formula>
      <formula>"ITAÚ FILIAL"</formula>
    </cfRule>
    <cfRule type="cellIs" dxfId="5002" priority="8124" operator="between">
      <formula>"ITAÚ FILIAL"</formula>
      <formula>"ITAÚ FILIAL"</formula>
    </cfRule>
    <cfRule type="cellIs" dxfId="5001" priority="8167" operator="between">
      <formula>"DAYCOVAL"</formula>
      <formula>"DAYCOVAL"</formula>
    </cfRule>
    <cfRule type="cellIs" dxfId="5000" priority="8316" operator="equal">
      <formula>"ITAÚ"</formula>
    </cfRule>
    <cfRule type="cellIs" dxfId="4999" priority="8315" operator="between">
      <formula>"ITAÚ MATRIZ"</formula>
      <formula>"ITAÚ MATRIZ"</formula>
    </cfRule>
    <cfRule type="cellIs" dxfId="4998" priority="8314" operator="equal">
      <formula>"ITAÚ MATRIZ"</formula>
    </cfRule>
    <cfRule type="cellIs" dxfId="4997" priority="8313" operator="equal">
      <formula>"ITAÚ"</formula>
    </cfRule>
    <cfRule type="cellIs" dxfId="4996" priority="8312" operator="between">
      <formula>"ITAÚ FILIAL"</formula>
      <formula>"ITAÚ FILIAL"</formula>
    </cfRule>
    <cfRule type="cellIs" dxfId="4995" priority="8311" operator="between">
      <formula>"ITAÚ FILIAL"</formula>
      <formula>"ITAÚ FILIAL"</formula>
    </cfRule>
    <cfRule type="cellIs" dxfId="4994" priority="8310" operator="between">
      <formula>"DAYCOVAL"</formula>
      <formula>"DAYCOVAL"</formula>
    </cfRule>
    <cfRule type="cellIs" dxfId="4993" priority="8309" operator="between">
      <formula>"SAFRA"</formula>
      <formula>"SAFRA"</formula>
    </cfRule>
    <cfRule type="cellIs" dxfId="4992" priority="8308" operator="between">
      <formula>"SAFRA"</formula>
      <formula>"SAFRA"</formula>
    </cfRule>
    <cfRule type="cellIs" dxfId="4991" priority="8307" operator="equal">
      <formula>"ITAÚ"</formula>
    </cfRule>
    <cfRule type="cellIs" dxfId="4990" priority="8306" operator="between">
      <formula>"ITAÚ MATRIZ"</formula>
      <formula>"ITAÚ MATRIZ"</formula>
    </cfRule>
    <cfRule type="cellIs" dxfId="4989" priority="8305" operator="equal">
      <formula>"ITAÚ MATRIZ"</formula>
    </cfRule>
    <cfRule type="cellIs" dxfId="4988" priority="8304" operator="equal">
      <formula>"ITAÚ"</formula>
    </cfRule>
    <cfRule type="cellIs" dxfId="4987" priority="8303" operator="between">
      <formula>"ITAÚ FILIAL"</formula>
      <formula>"ITAÚ FILIAL"</formula>
    </cfRule>
    <cfRule type="cellIs" dxfId="4986" priority="8302" operator="between">
      <formula>"ITAÚ FILIAL"</formula>
      <formula>"ITAÚ FILIAL"</formula>
    </cfRule>
    <cfRule type="cellIs" dxfId="4985" priority="8301" operator="between">
      <formula>"DAYCOVAL"</formula>
      <formula>"DAYCOVAL"</formula>
    </cfRule>
    <cfRule type="cellIs" dxfId="4984" priority="8300" operator="between">
      <formula>"SAFRA"</formula>
      <formula>"SAFRA"</formula>
    </cfRule>
    <cfRule type="cellIs" dxfId="4983" priority="8299" operator="between">
      <formula>"SAFRA"</formula>
      <formula>"SAFRA"</formula>
    </cfRule>
    <cfRule type="cellIs" dxfId="4982" priority="8298" operator="equal">
      <formula>"ITAÚ"</formula>
    </cfRule>
    <cfRule type="cellIs" dxfId="4981" priority="8297" operator="equal">
      <formula>"ITAÚ"</formula>
    </cfRule>
    <cfRule type="cellIs" dxfId="4980" priority="8296" operator="between">
      <formula>"ITAÚ MATRIZ"</formula>
      <formula>"ITAÚ MATRIZ"</formula>
    </cfRule>
    <cfRule type="cellIs" dxfId="4979" priority="8295" operator="between">
      <formula>"ITAÚ FILIAL"</formula>
      <formula>"ITAÚ FILIAL"</formula>
    </cfRule>
    <cfRule type="cellIs" dxfId="4978" priority="8294" operator="between">
      <formula>"ITAÚ FILIAL"</formula>
      <formula>"ITAÚ FILIAL"</formula>
    </cfRule>
    <cfRule type="cellIs" dxfId="4977" priority="8293" operator="between">
      <formula>"DAYCOVAL"</formula>
      <formula>"DAYCOVAL"</formula>
    </cfRule>
    <cfRule type="cellIs" dxfId="4976" priority="8292" operator="between">
      <formula>"SAFRA"</formula>
      <formula>"SAFRA"</formula>
    </cfRule>
    <cfRule type="cellIs" dxfId="4975" priority="8291" operator="between">
      <formula>"SAFRA"</formula>
      <formula>"SAFRA"</formula>
    </cfRule>
    <cfRule type="cellIs" dxfId="4974" priority="8290" operator="equal">
      <formula>"ITAÚ MATRIZ"</formula>
    </cfRule>
    <cfRule type="cellIs" dxfId="4973" priority="8289" operator="equal">
      <formula>"ITAÚ"</formula>
    </cfRule>
    <cfRule type="cellIs" dxfId="4972" priority="8288" operator="between">
      <formula>"ITAÚ MATRIZ"</formula>
      <formula>"ITAÚ MATRIZ"</formula>
    </cfRule>
    <cfRule type="cellIs" dxfId="4971" priority="8287" operator="equal">
      <formula>"ITAÚ MATRIZ"</formula>
    </cfRule>
    <cfRule type="cellIs" dxfId="4970" priority="8286" operator="equal">
      <formula>"ITAÚ"</formula>
    </cfRule>
    <cfRule type="cellIs" dxfId="4969" priority="8285" operator="between">
      <formula>"ITAÚ FILIAL"</formula>
      <formula>"ITAÚ FILIAL"</formula>
    </cfRule>
    <cfRule type="cellIs" dxfId="4968" priority="8284" operator="between">
      <formula>"ITAÚ FILIAL"</formula>
      <formula>"ITAÚ FILIAL"</formula>
    </cfRule>
    <cfRule type="cellIs" dxfId="4967" priority="8283" operator="between">
      <formula>"DAYCOVAL"</formula>
      <formula>"DAYCOVAL"</formula>
    </cfRule>
    <cfRule type="cellIs" dxfId="4966" priority="8282" operator="between">
      <formula>"SAFRA"</formula>
      <formula>"SAFRA"</formula>
    </cfRule>
    <cfRule type="cellIs" dxfId="4965" priority="8281" operator="between">
      <formula>"SAFRA"</formula>
      <formula>"SAFRA"</formula>
    </cfRule>
    <cfRule type="cellIs" dxfId="4964" priority="8280" operator="equal">
      <formula>"ITAÚ"</formula>
    </cfRule>
    <cfRule type="cellIs" dxfId="4963" priority="8279" operator="equal">
      <formula>"ITAÚ"</formula>
    </cfRule>
    <cfRule type="cellIs" dxfId="4962" priority="8278" operator="between">
      <formula>"ITAÚ MATRIZ"</formula>
      <formula>"ITAÚ MATRIZ"</formula>
    </cfRule>
    <cfRule type="cellIs" dxfId="4961" priority="8277" operator="between">
      <formula>"ITAÚ FILIAL"</formula>
      <formula>"ITAÚ FILIAL"</formula>
    </cfRule>
    <cfRule type="cellIs" dxfId="4960" priority="8276" operator="between">
      <formula>"ITAÚ FILIAL"</formula>
      <formula>"ITAÚ FILIAL"</formula>
    </cfRule>
    <cfRule type="cellIs" dxfId="4959" priority="8275" operator="between">
      <formula>"DAYCOVAL"</formula>
      <formula>"DAYCOVAL"</formula>
    </cfRule>
    <cfRule type="cellIs" dxfId="4958" priority="8274" operator="between">
      <formula>"SAFRA"</formula>
      <formula>"SAFRA"</formula>
    </cfRule>
    <cfRule type="cellIs" dxfId="4957" priority="8273" operator="between">
      <formula>"SAFRA"</formula>
      <formula>"SAFRA"</formula>
    </cfRule>
    <cfRule type="cellIs" dxfId="4956" priority="8272" operator="equal">
      <formula>"ITAÚ MATRIZ"</formula>
    </cfRule>
    <cfRule type="cellIs" dxfId="4955" priority="8271" operator="equal">
      <formula>"ITAÚ"</formula>
    </cfRule>
    <cfRule type="cellIs" dxfId="4954" priority="8270" operator="between">
      <formula>"ITAÚ MATRIZ"</formula>
      <formula>"ITAÚ MATRIZ"</formula>
    </cfRule>
    <cfRule type="cellIs" dxfId="4953" priority="8269" operator="equal">
      <formula>"ITAÚ MATRIZ"</formula>
    </cfRule>
    <cfRule type="cellIs" dxfId="4952" priority="8268" operator="equal">
      <formula>"ITAÚ"</formula>
    </cfRule>
    <cfRule type="cellIs" dxfId="4951" priority="8267" operator="between">
      <formula>"ITAÚ FILIAL"</formula>
      <formula>"ITAÚ FILIAL"</formula>
    </cfRule>
    <cfRule type="cellIs" dxfId="4950" priority="8266" operator="between">
      <formula>"ITAÚ FILIAL"</formula>
      <formula>"ITAÚ FILIAL"</formula>
    </cfRule>
    <cfRule type="cellIs" dxfId="4949" priority="8265" operator="between">
      <formula>"DAYCOVAL"</formula>
      <formula>"DAYCOVAL"</formula>
    </cfRule>
    <cfRule type="cellIs" dxfId="4948" priority="8264" operator="between">
      <formula>"SAFRA"</formula>
      <formula>"SAFRA"</formula>
    </cfRule>
    <cfRule type="cellIs" dxfId="4947" priority="8263" operator="between">
      <formula>"SAFRA"</formula>
      <formula>"SAFRA"</formula>
    </cfRule>
    <cfRule type="cellIs" dxfId="4946" priority="8262" operator="equal">
      <formula>"ITAÚ"</formula>
    </cfRule>
    <cfRule type="cellIs" dxfId="4945" priority="8261" operator="equal">
      <formula>"ITAÚ"</formula>
    </cfRule>
    <cfRule type="cellIs" dxfId="4944" priority="8260" operator="between">
      <formula>"ITAÚ MATRIZ"</formula>
      <formula>"ITAÚ MATRIZ"</formula>
    </cfRule>
    <cfRule type="cellIs" dxfId="4943" priority="8259" operator="between">
      <formula>"ITAÚ FILIAL"</formula>
      <formula>"ITAÚ FILIAL"</formula>
    </cfRule>
    <cfRule type="cellIs" dxfId="4942" priority="8258" operator="between">
      <formula>"ITAÚ FILIAL"</formula>
      <formula>"ITAÚ FILIAL"</formula>
    </cfRule>
    <cfRule type="cellIs" dxfId="4941" priority="8257" operator="between">
      <formula>"DAYCOVAL"</formula>
      <formula>"DAYCOVAL"</formula>
    </cfRule>
    <cfRule type="cellIs" dxfId="4940" priority="8256" operator="between">
      <formula>"SAFRA"</formula>
      <formula>"SAFRA"</formula>
    </cfRule>
    <cfRule type="cellIs" dxfId="4939" priority="8255" operator="between">
      <formula>"SAFRA"</formula>
      <formula>"SAFRA"</formula>
    </cfRule>
    <cfRule type="cellIs" dxfId="4938" priority="8254" operator="equal">
      <formula>"ITAÚ MATRIZ"</formula>
    </cfRule>
    <cfRule type="cellIs" dxfId="4937" priority="8253" operator="equal">
      <formula>"ITAÚ"</formula>
    </cfRule>
    <cfRule type="cellIs" dxfId="4936" priority="8252" operator="equal">
      <formula>"ITAÚ"</formula>
    </cfRule>
    <cfRule type="cellIs" dxfId="4935" priority="8251" operator="between">
      <formula>"ITAÚ MATRIZ"</formula>
      <formula>"ITAÚ MATRIZ"</formula>
    </cfRule>
    <cfRule type="cellIs" dxfId="4934" priority="8250" operator="between">
      <formula>"ITAÚ FILIAL"</formula>
      <formula>"ITAÚ FILIAL"</formula>
    </cfRule>
    <cfRule type="cellIs" dxfId="4933" priority="8249" operator="between">
      <formula>"ITAÚ FILIAL"</formula>
      <formula>"ITAÚ FILIAL"</formula>
    </cfRule>
    <cfRule type="cellIs" dxfId="4932" priority="8248" operator="between">
      <formula>"DAYCOVAL"</formula>
      <formula>"DAYCOVAL"</formula>
    </cfRule>
    <cfRule type="cellIs" dxfId="4931" priority="8247" operator="between">
      <formula>"SAFRA"</formula>
      <formula>"SAFRA"</formula>
    </cfRule>
    <cfRule type="cellIs" dxfId="4930" priority="8246" operator="between">
      <formula>"SAFRA"</formula>
      <formula>"SAFRA"</formula>
    </cfRule>
    <cfRule type="cellIs" dxfId="4929" priority="8245" operator="equal">
      <formula>"ITAÚ MATRIZ"</formula>
    </cfRule>
    <cfRule type="cellIs" dxfId="4928" priority="8244" operator="equal">
      <formula>"ITAÚ"</formula>
    </cfRule>
    <cfRule type="cellIs" dxfId="4927" priority="8243" operator="equal">
      <formula>"ITAÚ"</formula>
    </cfRule>
    <cfRule type="cellIs" dxfId="4926" priority="8242" operator="between">
      <formula>"ITAÚ MATRIZ"</formula>
      <formula>"ITAÚ MATRIZ"</formula>
    </cfRule>
    <cfRule type="cellIs" dxfId="4925" priority="8241" operator="between">
      <formula>"ITAÚ FILIAL"</formula>
      <formula>"ITAÚ FILIAL"</formula>
    </cfRule>
    <cfRule type="cellIs" dxfId="4924" priority="8240" operator="between">
      <formula>"ITAÚ FILIAL"</formula>
      <formula>"ITAÚ FILIAL"</formula>
    </cfRule>
    <cfRule type="cellIs" dxfId="4923" priority="8239" operator="between">
      <formula>"DAYCOVAL"</formula>
      <formula>"DAYCOVAL"</formula>
    </cfRule>
    <cfRule type="cellIs" dxfId="4922" priority="8238" operator="between">
      <formula>"SAFRA"</formula>
      <formula>"SAFRA"</formula>
    </cfRule>
    <cfRule type="cellIs" dxfId="4921" priority="8237" operator="between">
      <formula>"SAFRA"</formula>
      <formula>"SAFRA"</formula>
    </cfRule>
    <cfRule type="cellIs" dxfId="4920" priority="8236" operator="equal">
      <formula>"ITAÚ MATRIZ"</formula>
    </cfRule>
    <cfRule type="cellIs" dxfId="4919" priority="8235" operator="equal">
      <formula>"ITAÚ"</formula>
    </cfRule>
    <cfRule type="cellIs" dxfId="4918" priority="8234" operator="equal">
      <formula>"ITAÚ"</formula>
    </cfRule>
    <cfRule type="cellIs" dxfId="4917" priority="8233" operator="between">
      <formula>"ITAÚ MATRIZ"</formula>
      <formula>"ITAÚ MATRIZ"</formula>
    </cfRule>
    <cfRule type="cellIs" dxfId="4916" priority="8232" operator="between">
      <formula>"ITAÚ FILIAL"</formula>
      <formula>"ITAÚ FILIAL"</formula>
    </cfRule>
    <cfRule type="cellIs" dxfId="4915" priority="8231" operator="between">
      <formula>"ITAÚ FILIAL"</formula>
      <formula>"ITAÚ FILIAL"</formula>
    </cfRule>
    <cfRule type="cellIs" dxfId="4914" priority="8230" operator="between">
      <formula>"DAYCOVAL"</formula>
      <formula>"DAYCOVAL"</formula>
    </cfRule>
    <cfRule type="cellIs" dxfId="4913" priority="8229" operator="between">
      <formula>"SAFRA"</formula>
      <formula>"SAFRA"</formula>
    </cfRule>
    <cfRule type="cellIs" dxfId="4912" priority="8228" operator="between">
      <formula>"SAFRA"</formula>
      <formula>"SAFRA"</formula>
    </cfRule>
    <cfRule type="cellIs" dxfId="4911" priority="8227" operator="equal">
      <formula>"ITAÚ MATRIZ"</formula>
    </cfRule>
    <cfRule type="cellIs" dxfId="4910" priority="8226" operator="equal">
      <formula>"ITAÚ"</formula>
    </cfRule>
    <cfRule type="cellIs" dxfId="4909" priority="8225" operator="equal">
      <formula>"ITAÚ"</formula>
    </cfRule>
    <cfRule type="cellIs" dxfId="4908" priority="8224" operator="between">
      <formula>"ITAÚ MATRIZ"</formula>
      <formula>"ITAÚ MATRIZ"</formula>
    </cfRule>
    <cfRule type="cellIs" dxfId="4907" priority="8223" operator="between">
      <formula>"ITAÚ FILIAL"</formula>
      <formula>"ITAÚ FILIAL"</formula>
    </cfRule>
    <cfRule type="cellIs" dxfId="4906" priority="8222" operator="between">
      <formula>"ITAÚ FILIAL"</formula>
      <formula>"ITAÚ FILIAL"</formula>
    </cfRule>
    <cfRule type="cellIs" dxfId="4905" priority="8221" operator="between">
      <formula>"DAYCOVAL"</formula>
      <formula>"DAYCOVAL"</formula>
    </cfRule>
    <cfRule type="cellIs" dxfId="4904" priority="8220" operator="between">
      <formula>"SAFRA"</formula>
      <formula>"SAFRA"</formula>
    </cfRule>
    <cfRule type="cellIs" dxfId="4903" priority="8123" operator="between">
      <formula>"ITAÚ FILIAL"</formula>
      <formula>"ITAÚ FILIAL"</formula>
    </cfRule>
    <cfRule type="cellIs" dxfId="4902" priority="8218" operator="equal">
      <formula>"ITAÚ MATRIZ"</formula>
    </cfRule>
    <cfRule type="cellIs" dxfId="4901" priority="8217" operator="equal">
      <formula>"ITAÚ"</formula>
    </cfRule>
    <cfRule type="cellIs" dxfId="4900" priority="8216" operator="between">
      <formula>"ITAÚ MATRIZ"</formula>
      <formula>"ITAÚ MATRIZ"</formula>
    </cfRule>
    <cfRule type="cellIs" dxfId="4899" priority="8215" operator="equal">
      <formula>"ITAÚ MATRIZ"</formula>
    </cfRule>
    <cfRule type="cellIs" dxfId="4898" priority="8214" operator="equal">
      <formula>"ITAÚ"</formula>
    </cfRule>
    <cfRule type="cellIs" dxfId="4897" priority="8213" operator="between">
      <formula>"ITAÚ FILIAL"</formula>
      <formula>"ITAÚ FILIAL"</formula>
    </cfRule>
    <cfRule type="cellIs" dxfId="4896" priority="8212" operator="between">
      <formula>"ITAÚ FILIAL"</formula>
      <formula>"ITAÚ FILIAL"</formula>
    </cfRule>
    <cfRule type="cellIs" dxfId="4895" priority="8211" operator="between">
      <formula>"DAYCOVAL"</formula>
      <formula>"DAYCOVAL"</formula>
    </cfRule>
    <cfRule type="cellIs" dxfId="4894" priority="8210" operator="between">
      <formula>"SAFRA"</formula>
      <formula>"SAFRA"</formula>
    </cfRule>
    <cfRule type="cellIs" dxfId="4893" priority="8209" operator="between">
      <formula>"SAFRA"</formula>
      <formula>"SAFRA"</formula>
    </cfRule>
    <cfRule type="cellIs" dxfId="4892" priority="8208" operator="equal">
      <formula>"ITAÚ"</formula>
    </cfRule>
    <cfRule type="cellIs" dxfId="4891" priority="8207" operator="equal">
      <formula>"ITAÚ"</formula>
    </cfRule>
    <cfRule type="cellIs" dxfId="4890" priority="8206" operator="between">
      <formula>"ITAÚ MATRIZ"</formula>
      <formula>"ITAÚ MATRIZ"</formula>
    </cfRule>
    <cfRule type="cellIs" dxfId="4889" priority="8205" operator="between">
      <formula>"ITAÚ FILIAL"</formula>
      <formula>"ITAÚ FILIAL"</formula>
    </cfRule>
    <cfRule type="cellIs" dxfId="4888" priority="8204" operator="between">
      <formula>"ITAÚ FILIAL"</formula>
      <formula>"ITAÚ FILIAL"</formula>
    </cfRule>
    <cfRule type="cellIs" dxfId="4887" priority="8203" operator="between">
      <formula>"DAYCOVAL"</formula>
      <formula>"DAYCOVAL"</formula>
    </cfRule>
    <cfRule type="cellIs" dxfId="4886" priority="8202" operator="between">
      <formula>"SAFRA"</formula>
      <formula>"SAFRA"</formula>
    </cfRule>
    <cfRule type="cellIs" dxfId="4885" priority="8201" operator="between">
      <formula>"SAFRA"</formula>
      <formula>"SAFRA"</formula>
    </cfRule>
    <cfRule type="cellIs" dxfId="4884" priority="8200" operator="equal">
      <formula>"ITAÚ MATRIZ"</formula>
    </cfRule>
    <cfRule type="cellIs" dxfId="4883" priority="8199" operator="equal">
      <formula>"ITAÚ"</formula>
    </cfRule>
    <cfRule type="cellIs" dxfId="4882" priority="8198" operator="between">
      <formula>"ITAÚ MATRIZ"</formula>
      <formula>"ITAÚ MATRIZ"</formula>
    </cfRule>
    <cfRule type="cellIs" dxfId="4881" priority="8197" operator="equal">
      <formula>"ITAÚ MATRIZ"</formula>
    </cfRule>
    <cfRule type="cellIs" dxfId="4880" priority="8196" operator="equal">
      <formula>"ITAÚ"</formula>
    </cfRule>
    <cfRule type="cellIs" dxfId="4879" priority="8195" operator="between">
      <formula>"ITAÚ FILIAL"</formula>
      <formula>"ITAÚ FILIAL"</formula>
    </cfRule>
    <cfRule type="cellIs" dxfId="4878" priority="8194" operator="between">
      <formula>"ITAÚ FILIAL"</formula>
      <formula>"ITAÚ FILIAL"</formula>
    </cfRule>
    <cfRule type="cellIs" dxfId="4877" priority="8193" operator="between">
      <formula>"DAYCOVAL"</formula>
      <formula>"DAYCOVAL"</formula>
    </cfRule>
    <cfRule type="cellIs" dxfId="4876" priority="8192" operator="between">
      <formula>"SAFRA"</formula>
      <formula>"SAFRA"</formula>
    </cfRule>
    <cfRule type="cellIs" dxfId="4875" priority="8191" operator="between">
      <formula>"SAFRA"</formula>
      <formula>"SAFRA"</formula>
    </cfRule>
    <cfRule type="cellIs" dxfId="4874" priority="8190" operator="equal">
      <formula>"ITAÚ"</formula>
    </cfRule>
    <cfRule type="cellIs" dxfId="4873" priority="8189" operator="equal">
      <formula>"ITAÚ"</formula>
    </cfRule>
    <cfRule type="cellIs" dxfId="4872" priority="8188" operator="between">
      <formula>"ITAÚ MATRIZ"</formula>
      <formula>"ITAÚ MATRIZ"</formula>
    </cfRule>
    <cfRule type="cellIs" dxfId="4871" priority="8187" operator="between">
      <formula>"ITAÚ FILIAL"</formula>
      <formula>"ITAÚ FILIAL"</formula>
    </cfRule>
    <cfRule type="cellIs" dxfId="4870" priority="8186" operator="between">
      <formula>"ITAÚ FILIAL"</formula>
      <formula>"ITAÚ FILIAL"</formula>
    </cfRule>
    <cfRule type="cellIs" dxfId="4869" priority="8185" operator="between">
      <formula>"DAYCOVAL"</formula>
      <formula>"DAYCOVAL"</formula>
    </cfRule>
    <cfRule type="cellIs" dxfId="4868" priority="8184" operator="between">
      <formula>"SAFRA"</formula>
      <formula>"SAFRA"</formula>
    </cfRule>
    <cfRule type="cellIs" dxfId="4867" priority="8183" operator="between">
      <formula>"SAFRA"</formula>
      <formula>"SAFRA"</formula>
    </cfRule>
    <cfRule type="cellIs" dxfId="4866" priority="8182" operator="equal">
      <formula>"ITAÚ MATRIZ"</formula>
    </cfRule>
    <cfRule type="cellIs" dxfId="4865" priority="8181" operator="equal">
      <formula>"ITAÚ"</formula>
    </cfRule>
    <cfRule type="cellIs" dxfId="4864" priority="8180" operator="equal">
      <formula>"ITAÚ"</formula>
    </cfRule>
    <cfRule type="cellIs" dxfId="4863" priority="8179" operator="between">
      <formula>"ITAÚ MATRIZ"</formula>
      <formula>"ITAÚ MATRIZ"</formula>
    </cfRule>
    <cfRule type="cellIs" dxfId="4862" priority="8178" operator="between">
      <formula>"ITAÚ FILIAL"</formula>
      <formula>"ITAÚ FILIAL"</formula>
    </cfRule>
    <cfRule type="cellIs" dxfId="4861" priority="8177" operator="between">
      <formula>"ITAÚ FILIAL"</formula>
      <formula>"ITAÚ FILIAL"</formula>
    </cfRule>
    <cfRule type="cellIs" dxfId="4860" priority="8176" operator="between">
      <formula>"DAYCOVAL"</formula>
      <formula>"DAYCOVAL"</formula>
    </cfRule>
    <cfRule type="cellIs" dxfId="4859" priority="8175" operator="between">
      <formula>"SAFRA"</formula>
      <formula>"SAFRA"</formula>
    </cfRule>
    <cfRule type="cellIs" dxfId="4858" priority="8174" operator="between">
      <formula>"SAFRA"</formula>
      <formula>"SAFRA"</formula>
    </cfRule>
    <cfRule type="cellIs" dxfId="4857" priority="8173" operator="equal">
      <formula>"ITAÚ MATRIZ"</formula>
    </cfRule>
    <cfRule type="cellIs" dxfId="4856" priority="8172" operator="equal">
      <formula>"ITAÚ"</formula>
    </cfRule>
    <cfRule type="cellIs" dxfId="4855" priority="8171" operator="equal">
      <formula>"ITAÚ"</formula>
    </cfRule>
    <cfRule type="cellIs" dxfId="4854" priority="8170" operator="between">
      <formula>"ITAÚ MATRIZ"</formula>
      <formula>"ITAÚ MATRIZ"</formula>
    </cfRule>
    <cfRule type="cellIs" dxfId="4853" priority="8168" operator="between">
      <formula>"ITAÚ FILIAL"</formula>
      <formula>"ITAÚ FILIAL"</formula>
    </cfRule>
    <cfRule type="cellIs" dxfId="4852" priority="8166" operator="between">
      <formula>"SAFRA"</formula>
      <formula>"SAFRA"</formula>
    </cfRule>
    <cfRule type="cellIs" dxfId="4851" priority="8165" operator="between">
      <formula>"SAFRA"</formula>
      <formula>"SAFRA"</formula>
    </cfRule>
    <cfRule type="cellIs" dxfId="4850" priority="8164" operator="equal">
      <formula>"ITAÚ MATRIZ"</formula>
    </cfRule>
    <cfRule type="cellIs" dxfId="4849" priority="8163" operator="equal">
      <formula>"ITAÚ"</formula>
    </cfRule>
    <cfRule type="cellIs" dxfId="4848" priority="8162" operator="equal">
      <formula>"ITAÚ"</formula>
    </cfRule>
    <cfRule type="cellIs" dxfId="4847" priority="8161" operator="between">
      <formula>"ITAÚ MATRIZ"</formula>
      <formula>"ITAÚ MATRIZ"</formula>
    </cfRule>
    <cfRule type="cellIs" dxfId="4846" priority="8160" operator="between">
      <formula>"ITAÚ FILIAL"</formula>
      <formula>"ITAÚ FILIAL"</formula>
    </cfRule>
    <cfRule type="cellIs" dxfId="4845" priority="8159" operator="between">
      <formula>"ITAÚ FILIAL"</formula>
      <formula>"ITAÚ FILIAL"</formula>
    </cfRule>
    <cfRule type="cellIs" dxfId="4844" priority="8158" operator="between">
      <formula>"DAYCOVAL"</formula>
      <formula>"DAYCOVAL"</formula>
    </cfRule>
    <cfRule type="cellIs" dxfId="4843" priority="8157" operator="between">
      <formula>"SAFRA"</formula>
      <formula>"SAFRA"</formula>
    </cfRule>
    <cfRule type="cellIs" dxfId="4842" priority="8156" operator="between">
      <formula>"SAFRA"</formula>
      <formula>"SAFRA"</formula>
    </cfRule>
    <cfRule type="cellIs" dxfId="4841" priority="8155" operator="equal">
      <formula>"ITAÚ MATRIZ"</formula>
    </cfRule>
    <cfRule type="cellIs" dxfId="4840" priority="8154" operator="equal">
      <formula>"ITAÚ"</formula>
    </cfRule>
    <cfRule type="cellIs" dxfId="4839" priority="8153" operator="equal">
      <formula>"ITAÚ"</formula>
    </cfRule>
    <cfRule type="cellIs" dxfId="4838" priority="8152" operator="between">
      <formula>"ITAÚ MATRIZ"</formula>
      <formula>"ITAÚ MATRIZ"</formula>
    </cfRule>
    <cfRule type="cellIs" dxfId="4837" priority="8151" operator="between">
      <formula>"ITAÚ FILIAL"</formula>
      <formula>"ITAÚ FILIAL"</formula>
    </cfRule>
    <cfRule type="cellIs" dxfId="4836" priority="8150" operator="between">
      <formula>"ITAÚ FILIAL"</formula>
      <formula>"ITAÚ FILIAL"</formula>
    </cfRule>
    <cfRule type="cellIs" dxfId="4835" priority="8149" operator="between">
      <formula>"DAYCOVAL"</formula>
      <formula>"DAYCOVAL"</formula>
    </cfRule>
    <cfRule type="cellIs" dxfId="4834" priority="8148" operator="between">
      <formula>"SAFRA"</formula>
      <formula>"SAFRA"</formula>
    </cfRule>
    <cfRule type="cellIs" dxfId="4833" priority="8147" operator="between">
      <formula>"SAFRA"</formula>
      <formula>"SAFRA"</formula>
    </cfRule>
    <cfRule type="cellIs" dxfId="4832" priority="8146" operator="equal">
      <formula>"ITAÚ MATRIZ"</formula>
    </cfRule>
    <cfRule type="cellIs" dxfId="4831" priority="8145" operator="equal">
      <formula>"ITAÚ"</formula>
    </cfRule>
    <cfRule type="cellIs" dxfId="4830" priority="8144" operator="between">
      <formula>"ITAÚ MATRIZ"</formula>
      <formula>"ITAÚ MATRIZ"</formula>
    </cfRule>
    <cfRule type="cellIs" dxfId="4829" priority="8143" operator="equal">
      <formula>"ITAÚ MATRIZ"</formula>
    </cfRule>
    <cfRule type="cellIs" dxfId="4828" priority="8142" operator="equal">
      <formula>"ITAÚ"</formula>
    </cfRule>
    <cfRule type="cellIs" dxfId="4827" priority="8141" operator="between">
      <formula>"ITAÚ FILIAL"</formula>
      <formula>"ITAÚ FILIAL"</formula>
    </cfRule>
    <cfRule type="cellIs" dxfId="4826" priority="8140" operator="between">
      <formula>"ITAÚ FILIAL"</formula>
      <formula>"ITAÚ FILIAL"</formula>
    </cfRule>
    <cfRule type="cellIs" dxfId="4825" priority="8139" operator="between">
      <formula>"DAYCOVAL"</formula>
      <formula>"DAYCOVAL"</formula>
    </cfRule>
    <cfRule type="cellIs" dxfId="4824" priority="8138" operator="between">
      <formula>"SAFRA"</formula>
      <formula>"SAFRA"</formula>
    </cfRule>
    <cfRule type="cellIs" dxfId="4823" priority="8137" operator="between">
      <formula>"SAFRA"</formula>
      <formula>"SAFRA"</formula>
    </cfRule>
    <cfRule type="cellIs" dxfId="4822" priority="8136" operator="equal">
      <formula>"ITAÚ"</formula>
    </cfRule>
    <cfRule type="cellIs" dxfId="4821" priority="8135" operator="equal">
      <formula>"ITAÚ"</formula>
    </cfRule>
    <cfRule type="cellIs" dxfId="4820" priority="8134" operator="between">
      <formula>"ITAÚ MATRIZ"</formula>
      <formula>"ITAÚ MATRIZ"</formula>
    </cfRule>
    <cfRule type="cellIs" dxfId="4819" priority="8133" operator="between">
      <formula>"ITAÚ FILIAL"</formula>
      <formula>"ITAÚ FILIAL"</formula>
    </cfRule>
    <cfRule type="cellIs" dxfId="4818" priority="8132" operator="between">
      <formula>"ITAÚ FILIAL"</formula>
      <formula>"ITAÚ FILIAL"</formula>
    </cfRule>
    <cfRule type="cellIs" dxfId="4817" priority="8131" operator="between">
      <formula>"DAYCOVAL"</formula>
      <formula>"DAYCOVAL"</formula>
    </cfRule>
    <cfRule type="cellIs" dxfId="4816" priority="8130" operator="between">
      <formula>"SAFRA"</formula>
      <formula>"SAFRA"</formula>
    </cfRule>
    <cfRule type="cellIs" dxfId="4815" priority="8129" operator="between">
      <formula>"SAFRA"</formula>
      <formula>"SAFRA"</formula>
    </cfRule>
    <cfRule type="cellIs" dxfId="4814" priority="8128" operator="equal">
      <formula>"ITAÚ MATRIZ"</formula>
    </cfRule>
    <cfRule type="cellIs" dxfId="4813" priority="8125" operator="between">
      <formula>"ITAÚ MATRIZ"</formula>
      <formula>"ITAÚ MATRIZ"</formula>
    </cfRule>
    <cfRule type="cellIs" dxfId="4812" priority="8219" operator="between">
      <formula>"SAFRA"</formula>
      <formula>"SAFRA"</formula>
    </cfRule>
  </conditionalFormatting>
  <conditionalFormatting sqref="I158:I172">
    <cfRule type="cellIs" dxfId="4811" priority="8088" operator="between">
      <formula>"SAFRA"</formula>
      <formula>"SAFRA"</formula>
    </cfRule>
    <cfRule type="cellIs" dxfId="4810" priority="8096" operator="equal">
      <formula>"ITAÚ"</formula>
    </cfRule>
    <cfRule type="cellIs" dxfId="4809" priority="8094" operator="equal">
      <formula>"ITAÚ MATRIZ"</formula>
    </cfRule>
    <cfRule type="cellIs" dxfId="4808" priority="8093" operator="equal">
      <formula>"ITAÚ"</formula>
    </cfRule>
    <cfRule type="cellIs" dxfId="4807" priority="8090" operator="between">
      <formula>"DAYCOVAL"</formula>
      <formula>"DAYCOVAL"</formula>
    </cfRule>
    <cfRule type="cellIs" dxfId="4806" priority="8089" operator="between">
      <formula>"SAFRA"</formula>
      <formula>"SAFRA"</formula>
    </cfRule>
  </conditionalFormatting>
  <conditionalFormatting sqref="I161:I172">
    <cfRule type="cellIs" dxfId="4805" priority="7914" operator="between">
      <formula>"ITAÚ MATRIZ"</formula>
      <formula>"ITAÚ MATRIZ"</formula>
    </cfRule>
    <cfRule type="cellIs" dxfId="4804" priority="7958" operator="between">
      <formula>"ITAÚ FILIAL"</formula>
      <formula>"ITAÚ FILIAL"</formula>
    </cfRule>
    <cfRule type="cellIs" dxfId="4803" priority="7956" operator="between">
      <formula>"DAYCOVAL"</formula>
      <formula>"DAYCOVAL"</formula>
    </cfRule>
    <cfRule type="cellIs" dxfId="4802" priority="7955" operator="between">
      <formula>"SAFRA"</formula>
      <formula>"SAFRA"</formula>
    </cfRule>
    <cfRule type="cellIs" dxfId="4801" priority="7954" operator="between">
      <formula>"SAFRA"</formula>
      <formula>"SAFRA"</formula>
    </cfRule>
    <cfRule type="cellIs" dxfId="4800" priority="7953" operator="equal">
      <formula>"ITAÚ MATRIZ"</formula>
    </cfRule>
    <cfRule type="cellIs" dxfId="4799" priority="7952" operator="equal">
      <formula>"ITAÚ"</formula>
    </cfRule>
    <cfRule type="cellIs" dxfId="4798" priority="7951" operator="equal">
      <formula>"ITAÚ"</formula>
    </cfRule>
    <cfRule type="cellIs" dxfId="4797" priority="7950" operator="between">
      <formula>"ITAÚ MATRIZ"</formula>
      <formula>"ITAÚ MATRIZ"</formula>
    </cfRule>
    <cfRule type="cellIs" dxfId="4796" priority="7949" operator="between">
      <formula>"ITAÚ FILIAL"</formula>
      <formula>"ITAÚ FILIAL"</formula>
    </cfRule>
    <cfRule type="cellIs" dxfId="4795" priority="7948" operator="between">
      <formula>"ITAÚ FILIAL"</formula>
      <formula>"ITAÚ FILIAL"</formula>
    </cfRule>
    <cfRule type="cellIs" dxfId="4794" priority="7947" operator="between">
      <formula>"DAYCOVAL"</formula>
      <formula>"DAYCOVAL"</formula>
    </cfRule>
    <cfRule type="cellIs" dxfId="4793" priority="7946" operator="between">
      <formula>"SAFRA"</formula>
      <formula>"SAFRA"</formula>
    </cfRule>
    <cfRule type="cellIs" dxfId="4792" priority="7945" operator="between">
      <formula>"SAFRA"</formula>
      <formula>"SAFRA"</formula>
    </cfRule>
    <cfRule type="cellIs" dxfId="4791" priority="7944" operator="equal">
      <formula>"ITAÚ MATRIZ"</formula>
    </cfRule>
    <cfRule type="cellIs" dxfId="4790" priority="7943" operator="equal">
      <formula>"ITAÚ"</formula>
    </cfRule>
    <cfRule type="cellIs" dxfId="4789" priority="7942" operator="equal">
      <formula>"ITAÚ"</formula>
    </cfRule>
    <cfRule type="cellIs" dxfId="4788" priority="7941" operator="between">
      <formula>"ITAÚ MATRIZ"</formula>
      <formula>"ITAÚ MATRIZ"</formula>
    </cfRule>
    <cfRule type="cellIs" dxfId="4787" priority="7940" operator="between">
      <formula>"ITAÚ FILIAL"</formula>
      <formula>"ITAÚ FILIAL"</formula>
    </cfRule>
    <cfRule type="cellIs" dxfId="4786" priority="7939" operator="between">
      <formula>"ITAÚ FILIAL"</formula>
      <formula>"ITAÚ FILIAL"</formula>
    </cfRule>
    <cfRule type="cellIs" dxfId="4785" priority="7938" operator="between">
      <formula>"DAYCOVAL"</formula>
      <formula>"DAYCOVAL"</formula>
    </cfRule>
    <cfRule type="cellIs" dxfId="4784" priority="7937" operator="between">
      <formula>"SAFRA"</formula>
      <formula>"SAFRA"</formula>
    </cfRule>
    <cfRule type="cellIs" dxfId="4783" priority="7936" operator="between">
      <formula>"SAFRA"</formula>
      <formula>"SAFRA"</formula>
    </cfRule>
    <cfRule type="cellIs" dxfId="4782" priority="7935" operator="equal">
      <formula>"ITAÚ MATRIZ"</formula>
    </cfRule>
    <cfRule type="cellIs" dxfId="4781" priority="7934" operator="equal">
      <formula>"ITAÚ"</formula>
    </cfRule>
    <cfRule type="cellIs" dxfId="4780" priority="7933" operator="equal">
      <formula>"ITAÚ"</formula>
    </cfRule>
    <cfRule type="cellIs" dxfId="4779" priority="7932" operator="between">
      <formula>"ITAÚ MATRIZ"</formula>
      <formula>"ITAÚ MATRIZ"</formula>
    </cfRule>
    <cfRule type="cellIs" dxfId="4778" priority="7931" operator="between">
      <formula>"ITAÚ FILIAL"</formula>
      <formula>"ITAÚ FILIAL"</formula>
    </cfRule>
    <cfRule type="cellIs" dxfId="4777" priority="7930" operator="between">
      <formula>"ITAÚ FILIAL"</formula>
      <formula>"ITAÚ FILIAL"</formula>
    </cfRule>
    <cfRule type="cellIs" dxfId="4776" priority="7929" operator="between">
      <formula>"DAYCOVAL"</formula>
      <formula>"DAYCOVAL"</formula>
    </cfRule>
    <cfRule type="cellIs" dxfId="4775" priority="7928" operator="between">
      <formula>"SAFRA"</formula>
      <formula>"SAFRA"</formula>
    </cfRule>
    <cfRule type="cellIs" dxfId="4774" priority="7927" operator="between">
      <formula>"SAFRA"</formula>
      <formula>"SAFRA"</formula>
    </cfRule>
    <cfRule type="cellIs" dxfId="4773" priority="7926" operator="equal">
      <formula>"ITAÚ MATRIZ"</formula>
    </cfRule>
    <cfRule type="cellIs" dxfId="4772" priority="7925" operator="equal">
      <formula>"ITAÚ"</formula>
    </cfRule>
    <cfRule type="cellIs" dxfId="4771" priority="7924" operator="between">
      <formula>"ITAÚ MATRIZ"</formula>
      <formula>"ITAÚ MATRIZ"</formula>
    </cfRule>
    <cfRule type="cellIs" dxfId="4770" priority="7923" operator="equal">
      <formula>"ITAÚ MATRIZ"</formula>
    </cfRule>
    <cfRule type="cellIs" dxfId="4769" priority="7922" operator="equal">
      <formula>"ITAÚ"</formula>
    </cfRule>
    <cfRule type="cellIs" dxfId="4768" priority="7921" operator="between">
      <formula>"ITAÚ FILIAL"</formula>
      <formula>"ITAÚ FILIAL"</formula>
    </cfRule>
    <cfRule type="cellIs" dxfId="4767" priority="7920" operator="between">
      <formula>"ITAÚ FILIAL"</formula>
      <formula>"ITAÚ FILIAL"</formula>
    </cfRule>
    <cfRule type="cellIs" dxfId="4766" priority="7919" operator="between">
      <formula>"DAYCOVAL"</formula>
      <formula>"DAYCOVAL"</formula>
    </cfRule>
    <cfRule type="cellIs" dxfId="4765" priority="7918" operator="between">
      <formula>"SAFRA"</formula>
      <formula>"SAFRA"</formula>
    </cfRule>
    <cfRule type="cellIs" dxfId="4764" priority="7917" operator="between">
      <formula>"SAFRA"</formula>
      <formula>"SAFRA"</formula>
    </cfRule>
    <cfRule type="cellIs" dxfId="4763" priority="7916" operator="equal">
      <formula>"ITAÚ"</formula>
    </cfRule>
    <cfRule type="cellIs" dxfId="4762" priority="7915" operator="equal">
      <formula>"ITAÚ"</formula>
    </cfRule>
    <cfRule type="cellIs" dxfId="4761" priority="7959" operator="between">
      <formula>"ITAÚ MATRIZ"</formula>
      <formula>"ITAÚ MATRIZ"</formula>
    </cfRule>
    <cfRule type="cellIs" dxfId="4760" priority="7960" operator="equal">
      <formula>"ITAÚ"</formula>
    </cfRule>
    <cfRule type="cellIs" dxfId="4759" priority="7912" operator="between">
      <formula>"ITAÚ FILIAL"</formula>
      <formula>"ITAÚ FILIAL"</formula>
    </cfRule>
    <cfRule type="cellIs" dxfId="4758" priority="7911" operator="between">
      <formula>"DAYCOVAL"</formula>
      <formula>"DAYCOVAL"</formula>
    </cfRule>
    <cfRule type="cellIs" dxfId="4757" priority="7910" operator="between">
      <formula>"SAFRA"</formula>
      <formula>"SAFRA"</formula>
    </cfRule>
    <cfRule type="cellIs" dxfId="4756" priority="7909" operator="between">
      <formula>"SAFRA"</formula>
      <formula>"SAFRA"</formula>
    </cfRule>
    <cfRule type="cellIs" dxfId="4755" priority="7908" operator="equal">
      <formula>"ITAÚ MATRIZ"</formula>
    </cfRule>
    <cfRule type="cellIs" dxfId="4754" priority="7905" operator="between">
      <formula>"ITAÚ MATRIZ"</formula>
      <formula>"ITAÚ MATRIZ"</formula>
    </cfRule>
    <cfRule type="cellIs" dxfId="4753" priority="7904" operator="between">
      <formula>"ITAÚ FILIAL"</formula>
      <formula>"ITAÚ FILIAL"</formula>
    </cfRule>
    <cfRule type="cellIs" dxfId="4752" priority="7903" operator="between">
      <formula>"ITAÚ FILIAL"</formula>
      <formula>"ITAÚ FILIAL"</formula>
    </cfRule>
    <cfRule type="cellIs" dxfId="4751" priority="7961" operator="equal">
      <formula>"ITAÚ"</formula>
    </cfRule>
    <cfRule type="cellIs" dxfId="4750" priority="7962" operator="equal">
      <formula>"ITAÚ MATRIZ"</formula>
    </cfRule>
    <cfRule type="cellIs" dxfId="4749" priority="7963" operator="between">
      <formula>"SAFRA"</formula>
      <formula>"SAFRA"</formula>
    </cfRule>
    <cfRule type="cellIs" dxfId="4748" priority="7964" operator="between">
      <formula>"SAFRA"</formula>
      <formula>"SAFRA"</formula>
    </cfRule>
    <cfRule type="cellIs" dxfId="4747" priority="7965" operator="between">
      <formula>"DAYCOVAL"</formula>
      <formula>"DAYCOVAL"</formula>
    </cfRule>
    <cfRule type="cellIs" dxfId="4746" priority="7966" operator="between">
      <formula>"ITAÚ FILIAL"</formula>
      <formula>"ITAÚ FILIAL"</formula>
    </cfRule>
    <cfRule type="cellIs" dxfId="4745" priority="7967" operator="between">
      <formula>"ITAÚ FILIAL"</formula>
      <formula>"ITAÚ FILIAL"</formula>
    </cfRule>
    <cfRule type="cellIs" dxfId="4744" priority="7968" operator="between">
      <formula>"ITAÚ MATRIZ"</formula>
      <formula>"ITAÚ MATRIZ"</formula>
    </cfRule>
    <cfRule type="cellIs" dxfId="4743" priority="7969" operator="equal">
      <formula>"ITAÚ"</formula>
    </cfRule>
    <cfRule type="cellIs" dxfId="4742" priority="7970" operator="equal">
      <formula>"ITAÚ"</formula>
    </cfRule>
    <cfRule type="cellIs" dxfId="4741" priority="7971" operator="between">
      <formula>"SAFRA"</formula>
      <formula>"SAFRA"</formula>
    </cfRule>
    <cfRule type="cellIs" dxfId="4740" priority="7972" operator="between">
      <formula>"SAFRA"</formula>
      <formula>"SAFRA"</formula>
    </cfRule>
    <cfRule type="cellIs" dxfId="4739" priority="7973" operator="between">
      <formula>"DAYCOVAL"</formula>
      <formula>"DAYCOVAL"</formula>
    </cfRule>
    <cfRule type="cellIs" dxfId="4738" priority="7974" operator="between">
      <formula>"ITAÚ FILIAL"</formula>
      <formula>"ITAÚ FILIAL"</formula>
    </cfRule>
    <cfRule type="cellIs" dxfId="4737" priority="7975" operator="between">
      <formula>"ITAÚ FILIAL"</formula>
      <formula>"ITAÚ FILIAL"</formula>
    </cfRule>
    <cfRule type="cellIs" dxfId="4736" priority="7976" operator="equal">
      <formula>"ITAÚ"</formula>
    </cfRule>
    <cfRule type="cellIs" dxfId="4735" priority="7977" operator="equal">
      <formula>"ITAÚ MATRIZ"</formula>
    </cfRule>
    <cfRule type="cellIs" dxfId="4734" priority="7978" operator="between">
      <formula>"ITAÚ MATRIZ"</formula>
      <formula>"ITAÚ MATRIZ"</formula>
    </cfRule>
    <cfRule type="cellIs" dxfId="4733" priority="7979" operator="equal">
      <formula>"ITAÚ"</formula>
    </cfRule>
    <cfRule type="cellIs" dxfId="4732" priority="7980" operator="equal">
      <formula>"ITAÚ MATRIZ"</formula>
    </cfRule>
    <cfRule type="cellIs" dxfId="4731" priority="7981" operator="between">
      <formula>"SAFRA"</formula>
      <formula>"SAFRA"</formula>
    </cfRule>
    <cfRule type="cellIs" dxfId="4730" priority="7982" operator="between">
      <formula>"SAFRA"</formula>
      <formula>"SAFRA"</formula>
    </cfRule>
    <cfRule type="cellIs" dxfId="4729" priority="7983" operator="between">
      <formula>"DAYCOVAL"</formula>
      <formula>"DAYCOVAL"</formula>
    </cfRule>
    <cfRule type="cellIs" dxfId="4728" priority="7984" operator="between">
      <formula>"ITAÚ FILIAL"</formula>
      <formula>"ITAÚ FILIAL"</formula>
    </cfRule>
    <cfRule type="cellIs" dxfId="4727" priority="7985" operator="between">
      <formula>"ITAÚ FILIAL"</formula>
      <formula>"ITAÚ FILIAL"</formula>
    </cfRule>
    <cfRule type="cellIs" dxfId="4726" priority="7986" operator="between">
      <formula>"ITAÚ MATRIZ"</formula>
      <formula>"ITAÚ MATRIZ"</formula>
    </cfRule>
    <cfRule type="cellIs" dxfId="4725" priority="7987" operator="equal">
      <formula>"ITAÚ"</formula>
    </cfRule>
    <cfRule type="cellIs" dxfId="4724" priority="7988" operator="equal">
      <formula>"ITAÚ"</formula>
    </cfRule>
    <cfRule type="cellIs" dxfId="4723" priority="7989" operator="between">
      <formula>"SAFRA"</formula>
      <formula>"SAFRA"</formula>
    </cfRule>
    <cfRule type="cellIs" dxfId="4722" priority="7990" operator="between">
      <formula>"SAFRA"</formula>
      <formula>"SAFRA"</formula>
    </cfRule>
    <cfRule type="cellIs" dxfId="4721" priority="7991" operator="between">
      <formula>"DAYCOVAL"</formula>
      <formula>"DAYCOVAL"</formula>
    </cfRule>
    <cfRule type="cellIs" dxfId="4720" priority="7992" operator="between">
      <formula>"ITAÚ FILIAL"</formula>
      <formula>"ITAÚ FILIAL"</formula>
    </cfRule>
    <cfRule type="cellIs" dxfId="4719" priority="7993" operator="between">
      <formula>"ITAÚ FILIAL"</formula>
      <formula>"ITAÚ FILIAL"</formula>
    </cfRule>
    <cfRule type="cellIs" dxfId="4718" priority="7994" operator="equal">
      <formula>"ITAÚ"</formula>
    </cfRule>
    <cfRule type="cellIs" dxfId="4717" priority="7995" operator="equal">
      <formula>"ITAÚ MATRIZ"</formula>
    </cfRule>
    <cfRule type="cellIs" dxfId="4716" priority="7996" operator="between">
      <formula>"ITAÚ MATRIZ"</formula>
      <formula>"ITAÚ MATRIZ"</formula>
    </cfRule>
    <cfRule type="cellIs" dxfId="4715" priority="7997" operator="equal">
      <formula>"ITAÚ"</formula>
    </cfRule>
    <cfRule type="cellIs" dxfId="4714" priority="7998" operator="equal">
      <formula>"ITAÚ MATRIZ"</formula>
    </cfRule>
    <cfRule type="cellIs" dxfId="4713" priority="7999" operator="between">
      <formula>"SAFRA"</formula>
      <formula>"SAFRA"</formula>
    </cfRule>
    <cfRule type="cellIs" dxfId="4712" priority="7957" operator="between">
      <formula>"ITAÚ FILIAL"</formula>
      <formula>"ITAÚ FILIAL"</formula>
    </cfRule>
    <cfRule type="cellIs" dxfId="4711" priority="8001" operator="between">
      <formula>"DAYCOVAL"</formula>
      <formula>"DAYCOVAL"</formula>
    </cfRule>
    <cfRule type="cellIs" dxfId="4710" priority="8002" operator="between">
      <formula>"ITAÚ FILIAL"</formula>
      <formula>"ITAÚ FILIAL"</formula>
    </cfRule>
    <cfRule type="cellIs" dxfId="4709" priority="8003" operator="between">
      <formula>"ITAÚ FILIAL"</formula>
      <formula>"ITAÚ FILIAL"</formula>
    </cfRule>
    <cfRule type="cellIs" dxfId="4708" priority="8004" operator="between">
      <formula>"ITAÚ MATRIZ"</formula>
      <formula>"ITAÚ MATRIZ"</formula>
    </cfRule>
    <cfRule type="cellIs" dxfId="4707" priority="8005" operator="equal">
      <formula>"ITAÚ"</formula>
    </cfRule>
    <cfRule type="cellIs" dxfId="4706" priority="8006" operator="equal">
      <formula>"ITAÚ"</formula>
    </cfRule>
    <cfRule type="cellIs" dxfId="4705" priority="8007" operator="equal">
      <formula>"ITAÚ MATRIZ"</formula>
    </cfRule>
    <cfRule type="cellIs" dxfId="4704" priority="8008" operator="between">
      <formula>"SAFRA"</formula>
      <formula>"SAFRA"</formula>
    </cfRule>
    <cfRule type="cellIs" dxfId="4703" priority="8009" operator="between">
      <formula>"SAFRA"</formula>
      <formula>"SAFRA"</formula>
    </cfRule>
    <cfRule type="cellIs" dxfId="4702" priority="8010" operator="between">
      <formula>"DAYCOVAL"</formula>
      <formula>"DAYCOVAL"</formula>
    </cfRule>
    <cfRule type="cellIs" dxfId="4701" priority="8011" operator="between">
      <formula>"ITAÚ FILIAL"</formula>
      <formula>"ITAÚ FILIAL"</formula>
    </cfRule>
    <cfRule type="cellIs" dxfId="4700" priority="8012" operator="between">
      <formula>"ITAÚ FILIAL"</formula>
      <formula>"ITAÚ FILIAL"</formula>
    </cfRule>
    <cfRule type="cellIs" dxfId="4699" priority="8013" operator="between">
      <formula>"ITAÚ MATRIZ"</formula>
      <formula>"ITAÚ MATRIZ"</formula>
    </cfRule>
    <cfRule type="cellIs" dxfId="4698" priority="8014" operator="equal">
      <formula>"ITAÚ"</formula>
    </cfRule>
    <cfRule type="cellIs" dxfId="4697" priority="8015" operator="equal">
      <formula>"ITAÚ"</formula>
    </cfRule>
    <cfRule type="cellIs" dxfId="4696" priority="8016" operator="equal">
      <formula>"ITAÚ MATRIZ"</formula>
    </cfRule>
    <cfRule type="cellIs" dxfId="4695" priority="8017" operator="between">
      <formula>"SAFRA"</formula>
      <formula>"SAFRA"</formula>
    </cfRule>
    <cfRule type="cellIs" dxfId="4694" priority="8018" operator="between">
      <formula>"SAFRA"</formula>
      <formula>"SAFRA"</formula>
    </cfRule>
    <cfRule type="cellIs" dxfId="4693" priority="8019" operator="between">
      <formula>"DAYCOVAL"</formula>
      <formula>"DAYCOVAL"</formula>
    </cfRule>
    <cfRule type="cellIs" dxfId="4692" priority="8020" operator="between">
      <formula>"ITAÚ FILIAL"</formula>
      <formula>"ITAÚ FILIAL"</formula>
    </cfRule>
    <cfRule type="cellIs" dxfId="4691" priority="8021" operator="between">
      <formula>"ITAÚ FILIAL"</formula>
      <formula>"ITAÚ FILIAL"</formula>
    </cfRule>
    <cfRule type="cellIs" dxfId="4690" priority="8022" operator="between">
      <formula>"ITAÚ MATRIZ"</formula>
      <formula>"ITAÚ MATRIZ"</formula>
    </cfRule>
    <cfRule type="cellIs" dxfId="4689" priority="8023" operator="equal">
      <formula>"ITAÚ"</formula>
    </cfRule>
    <cfRule type="cellIs" dxfId="4688" priority="8024" operator="equal">
      <formula>"ITAÚ"</formula>
    </cfRule>
    <cfRule type="cellIs" dxfId="4687" priority="8025" operator="equal">
      <formula>"ITAÚ MATRIZ"</formula>
    </cfRule>
    <cfRule type="cellIs" dxfId="4686" priority="8026" operator="between">
      <formula>"SAFRA"</formula>
      <formula>"SAFRA"</formula>
    </cfRule>
    <cfRule type="cellIs" dxfId="4685" priority="8027" operator="between">
      <formula>"SAFRA"</formula>
      <formula>"SAFRA"</formula>
    </cfRule>
    <cfRule type="cellIs" dxfId="4684" priority="8028" operator="between">
      <formula>"DAYCOVAL"</formula>
      <formula>"DAYCOVAL"</formula>
    </cfRule>
    <cfRule type="cellIs" dxfId="4683" priority="8029" operator="between">
      <formula>"ITAÚ FILIAL"</formula>
      <formula>"ITAÚ FILIAL"</formula>
    </cfRule>
    <cfRule type="cellIs" dxfId="4682" priority="8030" operator="between">
      <formula>"ITAÚ FILIAL"</formula>
      <formula>"ITAÚ FILIAL"</formula>
    </cfRule>
    <cfRule type="cellIs" dxfId="4681" priority="8031" operator="between">
      <formula>"ITAÚ MATRIZ"</formula>
      <formula>"ITAÚ MATRIZ"</formula>
    </cfRule>
    <cfRule type="cellIs" dxfId="4680" priority="8032" operator="equal">
      <formula>"ITAÚ"</formula>
    </cfRule>
    <cfRule type="cellIs" dxfId="4679" priority="8033" operator="equal">
      <formula>"ITAÚ"</formula>
    </cfRule>
    <cfRule type="cellIs" dxfId="4678" priority="8034" operator="equal">
      <formula>"ITAÚ MATRIZ"</formula>
    </cfRule>
    <cfRule type="cellIs" dxfId="4677" priority="8035" operator="between">
      <formula>"SAFRA"</formula>
      <formula>"SAFRA"</formula>
    </cfRule>
    <cfRule type="cellIs" dxfId="4676" priority="8036" operator="between">
      <formula>"SAFRA"</formula>
      <formula>"SAFRA"</formula>
    </cfRule>
    <cfRule type="cellIs" dxfId="4675" priority="8037" operator="between">
      <formula>"DAYCOVAL"</formula>
      <formula>"DAYCOVAL"</formula>
    </cfRule>
    <cfRule type="cellIs" dxfId="4674" priority="8038" operator="between">
      <formula>"ITAÚ FILIAL"</formula>
      <formula>"ITAÚ FILIAL"</formula>
    </cfRule>
    <cfRule type="cellIs" dxfId="4673" priority="8039" operator="between">
      <formula>"ITAÚ FILIAL"</formula>
      <formula>"ITAÚ FILIAL"</formula>
    </cfRule>
    <cfRule type="cellIs" dxfId="4672" priority="8040" operator="between">
      <formula>"ITAÚ MATRIZ"</formula>
      <formula>"ITAÚ MATRIZ"</formula>
    </cfRule>
    <cfRule type="cellIs" dxfId="4671" priority="8041" operator="equal">
      <formula>"ITAÚ"</formula>
    </cfRule>
    <cfRule type="cellIs" dxfId="4670" priority="8042" operator="equal">
      <formula>"ITAÚ"</formula>
    </cfRule>
    <cfRule type="cellIs" dxfId="4669" priority="8043" operator="between">
      <formula>"SAFRA"</formula>
      <formula>"SAFRA"</formula>
    </cfRule>
    <cfRule type="cellIs" dxfId="4668" priority="8044" operator="between">
      <formula>"SAFRA"</formula>
      <formula>"SAFRA"</formula>
    </cfRule>
    <cfRule type="cellIs" dxfId="4667" priority="8045" operator="between">
      <formula>"DAYCOVAL"</formula>
      <formula>"DAYCOVAL"</formula>
    </cfRule>
    <cfRule type="cellIs" dxfId="4666" priority="8046" operator="between">
      <formula>"ITAÚ FILIAL"</formula>
      <formula>"ITAÚ FILIAL"</formula>
    </cfRule>
    <cfRule type="cellIs" dxfId="4665" priority="8047" operator="between">
      <formula>"ITAÚ FILIAL"</formula>
      <formula>"ITAÚ FILIAL"</formula>
    </cfRule>
    <cfRule type="cellIs" dxfId="4664" priority="8048" operator="equal">
      <formula>"ITAÚ"</formula>
    </cfRule>
    <cfRule type="cellIs" dxfId="4663" priority="8049" operator="equal">
      <formula>"ITAÚ MATRIZ"</formula>
    </cfRule>
    <cfRule type="cellIs" dxfId="4662" priority="8050" operator="between">
      <formula>"ITAÚ MATRIZ"</formula>
      <formula>"ITAÚ MATRIZ"</formula>
    </cfRule>
    <cfRule type="cellIs" dxfId="4661" priority="8051" operator="equal">
      <formula>"ITAÚ"</formula>
    </cfRule>
    <cfRule type="cellIs" dxfId="4660" priority="8052" operator="equal">
      <formula>"ITAÚ MATRIZ"</formula>
    </cfRule>
    <cfRule type="cellIs" dxfId="4659" priority="8053" operator="between">
      <formula>"SAFRA"</formula>
      <formula>"SAFRA"</formula>
    </cfRule>
    <cfRule type="cellIs" dxfId="4658" priority="8054" operator="between">
      <formula>"SAFRA"</formula>
      <formula>"SAFRA"</formula>
    </cfRule>
    <cfRule type="cellIs" dxfId="4657" priority="8055" operator="between">
      <formula>"DAYCOVAL"</formula>
      <formula>"DAYCOVAL"</formula>
    </cfRule>
    <cfRule type="cellIs" dxfId="4656" priority="8056" operator="between">
      <formula>"ITAÚ FILIAL"</formula>
      <formula>"ITAÚ FILIAL"</formula>
    </cfRule>
    <cfRule type="cellIs" dxfId="4655" priority="8057" operator="between">
      <formula>"ITAÚ FILIAL"</formula>
      <formula>"ITAÚ FILIAL"</formula>
    </cfRule>
    <cfRule type="cellIs" dxfId="4654" priority="8058" operator="between">
      <formula>"ITAÚ MATRIZ"</formula>
      <formula>"ITAÚ MATRIZ"</formula>
    </cfRule>
    <cfRule type="cellIs" dxfId="4653" priority="8059" operator="equal">
      <formula>"ITAÚ"</formula>
    </cfRule>
    <cfRule type="cellIs" dxfId="4652" priority="8060" operator="equal">
      <formula>"ITAÚ"</formula>
    </cfRule>
    <cfRule type="cellIs" dxfId="4651" priority="8061" operator="between">
      <formula>"SAFRA"</formula>
      <formula>"SAFRA"</formula>
    </cfRule>
    <cfRule type="cellIs" dxfId="4650" priority="8062" operator="between">
      <formula>"SAFRA"</formula>
      <formula>"SAFRA"</formula>
    </cfRule>
    <cfRule type="cellIs" dxfId="4649" priority="8063" operator="between">
      <formula>"DAYCOVAL"</formula>
      <formula>"DAYCOVAL"</formula>
    </cfRule>
    <cfRule type="cellIs" dxfId="4648" priority="8064" operator="between">
      <formula>"ITAÚ FILIAL"</formula>
      <formula>"ITAÚ FILIAL"</formula>
    </cfRule>
    <cfRule type="cellIs" dxfId="4647" priority="8065" operator="between">
      <formula>"ITAÚ FILIAL"</formula>
      <formula>"ITAÚ FILIAL"</formula>
    </cfRule>
    <cfRule type="cellIs" dxfId="4646" priority="8066" operator="equal">
      <formula>"ITAÚ"</formula>
    </cfRule>
    <cfRule type="cellIs" dxfId="4645" priority="8067" operator="equal">
      <formula>"ITAÚ MATRIZ"</formula>
    </cfRule>
    <cfRule type="cellIs" dxfId="4644" priority="8068" operator="between">
      <formula>"ITAÚ MATRIZ"</formula>
      <formula>"ITAÚ MATRIZ"</formula>
    </cfRule>
    <cfRule type="cellIs" dxfId="4643" priority="8069" operator="equal">
      <formula>"ITAÚ"</formula>
    </cfRule>
    <cfRule type="cellIs" dxfId="4642" priority="8070" operator="equal">
      <formula>"ITAÚ MATRIZ"</formula>
    </cfRule>
    <cfRule type="cellIs" dxfId="4641" priority="8071" operator="between">
      <formula>"SAFRA"</formula>
      <formula>"SAFRA"</formula>
    </cfRule>
    <cfRule type="cellIs" dxfId="4640" priority="8072" operator="between">
      <formula>"SAFRA"</formula>
      <formula>"SAFRA"</formula>
    </cfRule>
    <cfRule type="cellIs" dxfId="4639" priority="8073" operator="between">
      <formula>"DAYCOVAL"</formula>
      <formula>"DAYCOVAL"</formula>
    </cfRule>
    <cfRule type="cellIs" dxfId="4638" priority="8074" operator="between">
      <formula>"ITAÚ FILIAL"</formula>
      <formula>"ITAÚ FILIAL"</formula>
    </cfRule>
    <cfRule type="cellIs" dxfId="4637" priority="8075" operator="between">
      <formula>"ITAÚ FILIAL"</formula>
      <formula>"ITAÚ FILIAL"</formula>
    </cfRule>
    <cfRule type="cellIs" dxfId="4636" priority="8076" operator="between">
      <formula>"ITAÚ MATRIZ"</formula>
      <formula>"ITAÚ MATRIZ"</formula>
    </cfRule>
    <cfRule type="cellIs" dxfId="4635" priority="8077" operator="equal">
      <formula>"ITAÚ"</formula>
    </cfRule>
    <cfRule type="cellIs" dxfId="4634" priority="8078" operator="equal">
      <formula>"ITAÚ"</formula>
    </cfRule>
    <cfRule type="cellIs" dxfId="4633" priority="8079" operator="between">
      <formula>"SAFRA"</formula>
      <formula>"SAFRA"</formula>
    </cfRule>
    <cfRule type="cellIs" dxfId="4632" priority="8080" operator="between">
      <formula>"SAFRA"</formula>
      <formula>"SAFRA"</formula>
    </cfRule>
    <cfRule type="cellIs" dxfId="4631" priority="8081" operator="between">
      <formula>"DAYCOVAL"</formula>
      <formula>"DAYCOVAL"</formula>
    </cfRule>
    <cfRule type="cellIs" dxfId="4630" priority="8082" operator="between">
      <formula>"ITAÚ FILIAL"</formula>
      <formula>"ITAÚ FILIAL"</formula>
    </cfRule>
    <cfRule type="cellIs" dxfId="4629" priority="8083" operator="between">
      <formula>"ITAÚ FILIAL"</formula>
      <formula>"ITAÚ FILIAL"</formula>
    </cfRule>
    <cfRule type="cellIs" dxfId="4628" priority="8084" operator="equal">
      <formula>"ITAÚ"</formula>
    </cfRule>
    <cfRule type="cellIs" dxfId="4627" priority="8085" operator="equal">
      <formula>"ITAÚ MATRIZ"</formula>
    </cfRule>
    <cfRule type="cellIs" dxfId="4626" priority="8086" operator="between">
      <formula>"ITAÚ MATRIZ"</formula>
      <formula>"ITAÚ MATRIZ"</formula>
    </cfRule>
    <cfRule type="cellIs" dxfId="4625" priority="8087" operator="equal">
      <formula>"ITAÚ"</formula>
    </cfRule>
    <cfRule type="cellIs" dxfId="4624" priority="8091" operator="between">
      <formula>"ITAÚ FILIAL"</formula>
      <formula>"ITAÚ FILIAL"</formula>
    </cfRule>
    <cfRule type="cellIs" dxfId="4623" priority="8092" operator="between">
      <formula>"ITAÚ FILIAL"</formula>
      <formula>"ITAÚ FILIAL"</formula>
    </cfRule>
    <cfRule type="cellIs" dxfId="4622" priority="8095" operator="between">
      <formula>"ITAÚ MATRIZ"</formula>
      <formula>"ITAÚ MATRIZ"</formula>
    </cfRule>
    <cfRule type="cellIs" dxfId="4621" priority="7913" operator="between">
      <formula>"ITAÚ FILIAL"</formula>
      <formula>"ITAÚ FILIAL"</formula>
    </cfRule>
    <cfRule type="cellIs" dxfId="4620" priority="8000" operator="between">
      <formula>"SAFRA"</formula>
      <formula>"SAFRA"</formula>
    </cfRule>
  </conditionalFormatting>
  <conditionalFormatting sqref="I161:I188">
    <cfRule type="cellIs" dxfId="4619" priority="7438" operator="between">
      <formula>"SAFRA"</formula>
      <formula>"SAFRA"</formula>
    </cfRule>
    <cfRule type="cellIs" dxfId="4618" priority="7440" operator="between">
      <formula>"DAYCOVAL"</formula>
      <formula>"DAYCOVAL"</formula>
    </cfRule>
    <cfRule type="cellIs" dxfId="4617" priority="7439" operator="between">
      <formula>"SAFRA"</formula>
      <formula>"SAFRA"</formula>
    </cfRule>
    <cfRule type="cellIs" dxfId="4616" priority="7446" operator="equal">
      <formula>"ITAÚ"</formula>
    </cfRule>
    <cfRule type="cellIs" dxfId="4615" priority="7444" operator="equal">
      <formula>"ITAÚ MATRIZ"</formula>
    </cfRule>
    <cfRule type="cellIs" dxfId="4614" priority="7443" operator="equal">
      <formula>"ITAÚ"</formula>
    </cfRule>
  </conditionalFormatting>
  <conditionalFormatting sqref="I173">
    <cfRule type="cellIs" dxfId="4613" priority="7434" operator="equal">
      <formula>"ITAÚ"</formula>
    </cfRule>
    <cfRule type="cellIs" dxfId="4612" priority="7249" operator="equal">
      <formula>"ITAÚ MATRIZ"</formula>
    </cfRule>
    <cfRule type="cellIs" dxfId="4611" priority="7344" operator="equal">
      <formula>"ITAÚ"</formula>
    </cfRule>
    <cfRule type="cellIs" dxfId="4610" priority="7340" operator="between">
      <formula>"SAFRA"</formula>
      <formula>"SAFRA"</formula>
    </cfRule>
    <cfRule type="cellIs" dxfId="4609" priority="7433" operator="between">
      <formula>"ITAÚ FILIAL"</formula>
      <formula>"ITAÚ FILIAL"</formula>
    </cfRule>
    <cfRule type="cellIs" dxfId="4608" priority="7437" operator="equal">
      <formula>"ITAÚ"</formula>
    </cfRule>
    <cfRule type="cellIs" dxfId="4607" priority="7346" operator="between">
      <formula>"ITAÚ MATRIZ"</formula>
      <formula>"ITAÚ MATRIZ"</formula>
    </cfRule>
    <cfRule type="cellIs" dxfId="4606" priority="7436" operator="between">
      <formula>"ITAÚ MATRIZ"</formula>
      <formula>"ITAÚ MATRIZ"</formula>
    </cfRule>
    <cfRule type="cellIs" dxfId="4605" priority="7431" operator="between">
      <formula>"DAYCOVAL"</formula>
      <formula>"DAYCOVAL"</formula>
    </cfRule>
    <cfRule type="cellIs" dxfId="4604" priority="7430" operator="between">
      <formula>"SAFRA"</formula>
      <formula>"SAFRA"</formula>
    </cfRule>
    <cfRule type="cellIs" dxfId="4603" priority="7429" operator="between">
      <formula>"SAFRA"</formula>
      <formula>"SAFRA"</formula>
    </cfRule>
    <cfRule type="cellIs" dxfId="4602" priority="7428" operator="equal">
      <formula>"ITAÚ"</formula>
    </cfRule>
    <cfRule type="cellIs" dxfId="4601" priority="7427" operator="equal">
      <formula>"ITAÚ"</formula>
    </cfRule>
    <cfRule type="cellIs" dxfId="4600" priority="7426" operator="between">
      <formula>"ITAÚ MATRIZ"</formula>
      <formula>"ITAÚ MATRIZ"</formula>
    </cfRule>
    <cfRule type="cellIs" dxfId="4599" priority="7425" operator="between">
      <formula>"ITAÚ FILIAL"</formula>
      <formula>"ITAÚ FILIAL"</formula>
    </cfRule>
    <cfRule type="cellIs" dxfId="4598" priority="7424" operator="between">
      <formula>"ITAÚ FILIAL"</formula>
      <formula>"ITAÚ FILIAL"</formula>
    </cfRule>
    <cfRule type="cellIs" dxfId="4597" priority="7423" operator="between">
      <formula>"DAYCOVAL"</formula>
      <formula>"DAYCOVAL"</formula>
    </cfRule>
    <cfRule type="cellIs" dxfId="4596" priority="7422" operator="between">
      <formula>"SAFRA"</formula>
      <formula>"SAFRA"</formula>
    </cfRule>
    <cfRule type="cellIs" dxfId="4595" priority="7421" operator="between">
      <formula>"SAFRA"</formula>
      <formula>"SAFRA"</formula>
    </cfRule>
    <cfRule type="cellIs" dxfId="4594" priority="7420" operator="equal">
      <formula>"ITAÚ MATRIZ"</formula>
    </cfRule>
    <cfRule type="cellIs" dxfId="4593" priority="7419" operator="equal">
      <formula>"ITAÚ"</formula>
    </cfRule>
    <cfRule type="cellIs" dxfId="4592" priority="7418" operator="between">
      <formula>"ITAÚ MATRIZ"</formula>
      <formula>"ITAÚ MATRIZ"</formula>
    </cfRule>
    <cfRule type="cellIs" dxfId="4591" priority="7417" operator="equal">
      <formula>"ITAÚ MATRIZ"</formula>
    </cfRule>
    <cfRule type="cellIs" dxfId="4590" priority="7416" operator="equal">
      <formula>"ITAÚ"</formula>
    </cfRule>
    <cfRule type="cellIs" dxfId="4589" priority="7415" operator="between">
      <formula>"ITAÚ FILIAL"</formula>
      <formula>"ITAÚ FILIAL"</formula>
    </cfRule>
    <cfRule type="cellIs" dxfId="4588" priority="7414" operator="between">
      <formula>"ITAÚ FILIAL"</formula>
      <formula>"ITAÚ FILIAL"</formula>
    </cfRule>
    <cfRule type="cellIs" dxfId="4587" priority="7413" operator="between">
      <formula>"DAYCOVAL"</formula>
      <formula>"DAYCOVAL"</formula>
    </cfRule>
    <cfRule type="cellIs" dxfId="4586" priority="7412" operator="between">
      <formula>"SAFRA"</formula>
      <formula>"SAFRA"</formula>
    </cfRule>
    <cfRule type="cellIs" dxfId="4585" priority="7411" operator="between">
      <formula>"SAFRA"</formula>
      <formula>"SAFRA"</formula>
    </cfRule>
    <cfRule type="cellIs" dxfId="4584" priority="7410" operator="equal">
      <formula>"ITAÚ"</formula>
    </cfRule>
    <cfRule type="cellIs" dxfId="4583" priority="7409" operator="equal">
      <formula>"ITAÚ"</formula>
    </cfRule>
    <cfRule type="cellIs" dxfId="4582" priority="7408" operator="between">
      <formula>"ITAÚ MATRIZ"</formula>
      <formula>"ITAÚ MATRIZ"</formula>
    </cfRule>
    <cfRule type="cellIs" dxfId="4581" priority="7407" operator="between">
      <formula>"ITAÚ FILIAL"</formula>
      <formula>"ITAÚ FILIAL"</formula>
    </cfRule>
    <cfRule type="cellIs" dxfId="4580" priority="7406" operator="between">
      <formula>"ITAÚ FILIAL"</formula>
      <formula>"ITAÚ FILIAL"</formula>
    </cfRule>
    <cfRule type="cellIs" dxfId="4579" priority="7405" operator="between">
      <formula>"DAYCOVAL"</formula>
      <formula>"DAYCOVAL"</formula>
    </cfRule>
    <cfRule type="cellIs" dxfId="4578" priority="7404" operator="between">
      <formula>"SAFRA"</formula>
      <formula>"SAFRA"</formula>
    </cfRule>
    <cfRule type="cellIs" dxfId="4577" priority="7403" operator="between">
      <formula>"SAFRA"</formula>
      <formula>"SAFRA"</formula>
    </cfRule>
    <cfRule type="cellIs" dxfId="4576" priority="7402" operator="equal">
      <formula>"ITAÚ MATRIZ"</formula>
    </cfRule>
    <cfRule type="cellIs" dxfId="4575" priority="7401" operator="equal">
      <formula>"ITAÚ"</formula>
    </cfRule>
    <cfRule type="cellIs" dxfId="4574" priority="7400" operator="between">
      <formula>"ITAÚ MATRIZ"</formula>
      <formula>"ITAÚ MATRIZ"</formula>
    </cfRule>
    <cfRule type="cellIs" dxfId="4573" priority="7399" operator="equal">
      <formula>"ITAÚ MATRIZ"</formula>
    </cfRule>
    <cfRule type="cellIs" dxfId="4572" priority="7398" operator="equal">
      <formula>"ITAÚ"</formula>
    </cfRule>
    <cfRule type="cellIs" dxfId="4571" priority="7397" operator="between">
      <formula>"ITAÚ FILIAL"</formula>
      <formula>"ITAÚ FILIAL"</formula>
    </cfRule>
    <cfRule type="cellIs" dxfId="4570" priority="7396" operator="between">
      <formula>"ITAÚ FILIAL"</formula>
      <formula>"ITAÚ FILIAL"</formula>
    </cfRule>
    <cfRule type="cellIs" dxfId="4569" priority="7395" operator="between">
      <formula>"DAYCOVAL"</formula>
      <formula>"DAYCOVAL"</formula>
    </cfRule>
    <cfRule type="cellIs" dxfId="4568" priority="7394" operator="between">
      <formula>"SAFRA"</formula>
      <formula>"SAFRA"</formula>
    </cfRule>
    <cfRule type="cellIs" dxfId="4567" priority="7393" operator="between">
      <formula>"SAFRA"</formula>
      <formula>"SAFRA"</formula>
    </cfRule>
    <cfRule type="cellIs" dxfId="4566" priority="7392" operator="equal">
      <formula>"ITAÚ"</formula>
    </cfRule>
    <cfRule type="cellIs" dxfId="4565" priority="7391" operator="equal">
      <formula>"ITAÚ"</formula>
    </cfRule>
    <cfRule type="cellIs" dxfId="4564" priority="7390" operator="between">
      <formula>"ITAÚ MATRIZ"</formula>
      <formula>"ITAÚ MATRIZ"</formula>
    </cfRule>
    <cfRule type="cellIs" dxfId="4563" priority="7389" operator="between">
      <formula>"ITAÚ FILIAL"</formula>
      <formula>"ITAÚ FILIAL"</formula>
    </cfRule>
    <cfRule type="cellIs" dxfId="4562" priority="7388" operator="between">
      <formula>"ITAÚ FILIAL"</formula>
      <formula>"ITAÚ FILIAL"</formula>
    </cfRule>
    <cfRule type="cellIs" dxfId="4561" priority="7387" operator="between">
      <formula>"DAYCOVAL"</formula>
      <formula>"DAYCOVAL"</formula>
    </cfRule>
    <cfRule type="cellIs" dxfId="4560" priority="7386" operator="between">
      <formula>"SAFRA"</formula>
      <formula>"SAFRA"</formula>
    </cfRule>
    <cfRule type="cellIs" dxfId="4559" priority="7385" operator="between">
      <formula>"SAFRA"</formula>
      <formula>"SAFRA"</formula>
    </cfRule>
    <cfRule type="cellIs" dxfId="4558" priority="7384" operator="equal">
      <formula>"ITAÚ MATRIZ"</formula>
    </cfRule>
    <cfRule type="cellIs" dxfId="4557" priority="7383" operator="equal">
      <formula>"ITAÚ"</formula>
    </cfRule>
    <cfRule type="cellIs" dxfId="4556" priority="7382" operator="equal">
      <formula>"ITAÚ"</formula>
    </cfRule>
    <cfRule type="cellIs" dxfId="4555" priority="7381" operator="between">
      <formula>"ITAÚ MATRIZ"</formula>
      <formula>"ITAÚ MATRIZ"</formula>
    </cfRule>
    <cfRule type="cellIs" dxfId="4554" priority="7380" operator="between">
      <formula>"ITAÚ FILIAL"</formula>
      <formula>"ITAÚ FILIAL"</formula>
    </cfRule>
    <cfRule type="cellIs" dxfId="4553" priority="7379" operator="between">
      <formula>"ITAÚ FILIAL"</formula>
      <formula>"ITAÚ FILIAL"</formula>
    </cfRule>
    <cfRule type="cellIs" dxfId="4552" priority="7378" operator="between">
      <formula>"DAYCOVAL"</formula>
      <formula>"DAYCOVAL"</formula>
    </cfRule>
    <cfRule type="cellIs" dxfId="4551" priority="7377" operator="between">
      <formula>"SAFRA"</formula>
      <formula>"SAFRA"</formula>
    </cfRule>
    <cfRule type="cellIs" dxfId="4550" priority="7376" operator="between">
      <formula>"SAFRA"</formula>
      <formula>"SAFRA"</formula>
    </cfRule>
    <cfRule type="cellIs" dxfId="4549" priority="7375" operator="equal">
      <formula>"ITAÚ MATRIZ"</formula>
    </cfRule>
    <cfRule type="cellIs" dxfId="4548" priority="7374" operator="equal">
      <formula>"ITAÚ"</formula>
    </cfRule>
    <cfRule type="cellIs" dxfId="4547" priority="7373" operator="equal">
      <formula>"ITAÚ"</formula>
    </cfRule>
    <cfRule type="cellIs" dxfId="4546" priority="7372" operator="between">
      <formula>"ITAÚ MATRIZ"</formula>
      <formula>"ITAÚ MATRIZ"</formula>
    </cfRule>
    <cfRule type="cellIs" dxfId="4545" priority="7371" operator="between">
      <formula>"ITAÚ FILIAL"</formula>
      <formula>"ITAÚ FILIAL"</formula>
    </cfRule>
    <cfRule type="cellIs" dxfId="4544" priority="7370" operator="between">
      <formula>"ITAÚ FILIAL"</formula>
      <formula>"ITAÚ FILIAL"</formula>
    </cfRule>
    <cfRule type="cellIs" dxfId="4543" priority="7369" operator="between">
      <formula>"DAYCOVAL"</formula>
      <formula>"DAYCOVAL"</formula>
    </cfRule>
    <cfRule type="cellIs" dxfId="4542" priority="7368" operator="between">
      <formula>"SAFRA"</formula>
      <formula>"SAFRA"</formula>
    </cfRule>
    <cfRule type="cellIs" dxfId="4541" priority="7367" operator="between">
      <formula>"SAFRA"</formula>
      <formula>"SAFRA"</formula>
    </cfRule>
    <cfRule type="cellIs" dxfId="4540" priority="7366" operator="equal">
      <formula>"ITAÚ MATRIZ"</formula>
    </cfRule>
    <cfRule type="cellIs" dxfId="4539" priority="7365" operator="equal">
      <formula>"ITAÚ"</formula>
    </cfRule>
    <cfRule type="cellIs" dxfId="4538" priority="7364" operator="equal">
      <formula>"ITAÚ"</formula>
    </cfRule>
    <cfRule type="cellIs" dxfId="4537" priority="7363" operator="between">
      <formula>"ITAÚ MATRIZ"</formula>
      <formula>"ITAÚ MATRIZ"</formula>
    </cfRule>
    <cfRule type="cellIs" dxfId="4536" priority="7362" operator="between">
      <formula>"ITAÚ FILIAL"</formula>
      <formula>"ITAÚ FILIAL"</formula>
    </cfRule>
    <cfRule type="cellIs" dxfId="4535" priority="7361" operator="between">
      <formula>"ITAÚ FILIAL"</formula>
      <formula>"ITAÚ FILIAL"</formula>
    </cfRule>
    <cfRule type="cellIs" dxfId="4534" priority="7360" operator="between">
      <formula>"DAYCOVAL"</formula>
      <formula>"DAYCOVAL"</formula>
    </cfRule>
    <cfRule type="cellIs" dxfId="4533" priority="7359" operator="between">
      <formula>"SAFRA"</formula>
      <formula>"SAFRA"</formula>
    </cfRule>
    <cfRule type="cellIs" dxfId="4532" priority="7358" operator="between">
      <formula>"SAFRA"</formula>
      <formula>"SAFRA"</formula>
    </cfRule>
    <cfRule type="cellIs" dxfId="4531" priority="7357" operator="equal">
      <formula>"ITAÚ MATRIZ"</formula>
    </cfRule>
    <cfRule type="cellIs" dxfId="4530" priority="7356" operator="equal">
      <formula>"ITAÚ"</formula>
    </cfRule>
    <cfRule type="cellIs" dxfId="4529" priority="7355" operator="equal">
      <formula>"ITAÚ"</formula>
    </cfRule>
    <cfRule type="cellIs" dxfId="4528" priority="7354" operator="between">
      <formula>"ITAÚ MATRIZ"</formula>
      <formula>"ITAÚ MATRIZ"</formula>
    </cfRule>
    <cfRule type="cellIs" dxfId="4527" priority="7353" operator="between">
      <formula>"ITAÚ FILIAL"</formula>
      <formula>"ITAÚ FILIAL"</formula>
    </cfRule>
    <cfRule type="cellIs" dxfId="4526" priority="7352" operator="between">
      <formula>"ITAÚ FILIAL"</formula>
      <formula>"ITAÚ FILIAL"</formula>
    </cfRule>
    <cfRule type="cellIs" dxfId="4525" priority="7351" operator="between">
      <formula>"DAYCOVAL"</formula>
      <formula>"DAYCOVAL"</formula>
    </cfRule>
    <cfRule type="cellIs" dxfId="4524" priority="7350" operator="between">
      <formula>"SAFRA"</formula>
      <formula>"SAFRA"</formula>
    </cfRule>
    <cfRule type="cellIs" dxfId="4523" priority="7349" operator="between">
      <formula>"SAFRA"</formula>
      <formula>"SAFRA"</formula>
    </cfRule>
    <cfRule type="cellIs" dxfId="4522" priority="7348" operator="equal">
      <formula>"ITAÚ MATRIZ"</formula>
    </cfRule>
    <cfRule type="cellIs" dxfId="4521" priority="7347" operator="equal">
      <formula>"ITAÚ"</formula>
    </cfRule>
    <cfRule type="cellIs" dxfId="4520" priority="7435" operator="equal">
      <formula>"ITAÚ MATRIZ"</formula>
    </cfRule>
    <cfRule type="cellIs" dxfId="4519" priority="7345" operator="equal">
      <formula>"ITAÚ MATRIZ"</formula>
    </cfRule>
    <cfRule type="cellIs" dxfId="4518" priority="7343" operator="between">
      <formula>"ITAÚ FILIAL"</formula>
      <formula>"ITAÚ FILIAL"</formula>
    </cfRule>
    <cfRule type="cellIs" dxfId="4517" priority="7432" operator="between">
      <formula>"ITAÚ FILIAL"</formula>
      <formula>"ITAÚ FILIAL"</formula>
    </cfRule>
    <cfRule type="cellIs" dxfId="4516" priority="7341" operator="between">
      <formula>"DAYCOVAL"</formula>
      <formula>"DAYCOVAL"</formula>
    </cfRule>
    <cfRule type="cellIs" dxfId="4515" priority="7339" operator="between">
      <formula>"SAFRA"</formula>
      <formula>"SAFRA"</formula>
    </cfRule>
    <cfRule type="cellIs" dxfId="4514" priority="7338" operator="equal">
      <formula>"ITAÚ"</formula>
    </cfRule>
    <cfRule type="cellIs" dxfId="4513" priority="7337" operator="equal">
      <formula>"ITAÚ"</formula>
    </cfRule>
    <cfRule type="cellIs" dxfId="4512" priority="7336" operator="between">
      <formula>"ITAÚ MATRIZ"</formula>
      <formula>"ITAÚ MATRIZ"</formula>
    </cfRule>
    <cfRule type="cellIs" dxfId="4511" priority="7335" operator="between">
      <formula>"ITAÚ FILIAL"</formula>
      <formula>"ITAÚ FILIAL"</formula>
    </cfRule>
    <cfRule type="cellIs" dxfId="4510" priority="7334" operator="between">
      <formula>"ITAÚ FILIAL"</formula>
      <formula>"ITAÚ FILIAL"</formula>
    </cfRule>
    <cfRule type="cellIs" dxfId="4509" priority="7333" operator="between">
      <formula>"DAYCOVAL"</formula>
      <formula>"DAYCOVAL"</formula>
    </cfRule>
    <cfRule type="cellIs" dxfId="4508" priority="7332" operator="between">
      <formula>"SAFRA"</formula>
      <formula>"SAFRA"</formula>
    </cfRule>
    <cfRule type="cellIs" dxfId="4507" priority="7331" operator="between">
      <formula>"SAFRA"</formula>
      <formula>"SAFRA"</formula>
    </cfRule>
    <cfRule type="cellIs" dxfId="4506" priority="7330" operator="equal">
      <formula>"ITAÚ MATRIZ"</formula>
    </cfRule>
    <cfRule type="cellIs" dxfId="4505" priority="7329" operator="equal">
      <formula>"ITAÚ"</formula>
    </cfRule>
    <cfRule type="cellIs" dxfId="4504" priority="7328" operator="between">
      <formula>"ITAÚ MATRIZ"</formula>
      <formula>"ITAÚ MATRIZ"</formula>
    </cfRule>
    <cfRule type="cellIs" dxfId="4503" priority="7327" operator="equal">
      <formula>"ITAÚ MATRIZ"</formula>
    </cfRule>
    <cfRule type="cellIs" dxfId="4502" priority="7326" operator="equal">
      <formula>"ITAÚ"</formula>
    </cfRule>
    <cfRule type="cellIs" dxfId="4501" priority="7325" operator="between">
      <formula>"ITAÚ FILIAL"</formula>
      <formula>"ITAÚ FILIAL"</formula>
    </cfRule>
    <cfRule type="cellIs" dxfId="4500" priority="7324" operator="between">
      <formula>"ITAÚ FILIAL"</formula>
      <formula>"ITAÚ FILIAL"</formula>
    </cfRule>
    <cfRule type="cellIs" dxfId="4499" priority="7323" operator="between">
      <formula>"DAYCOVAL"</formula>
      <formula>"DAYCOVAL"</formula>
    </cfRule>
    <cfRule type="cellIs" dxfId="4498" priority="7322" operator="between">
      <formula>"SAFRA"</formula>
      <formula>"SAFRA"</formula>
    </cfRule>
    <cfRule type="cellIs" dxfId="4497" priority="7321" operator="between">
      <formula>"SAFRA"</formula>
      <formula>"SAFRA"</formula>
    </cfRule>
    <cfRule type="cellIs" dxfId="4496" priority="7320" operator="equal">
      <formula>"ITAÚ"</formula>
    </cfRule>
    <cfRule type="cellIs" dxfId="4495" priority="7319" operator="equal">
      <formula>"ITAÚ"</formula>
    </cfRule>
    <cfRule type="cellIs" dxfId="4494" priority="7318" operator="between">
      <formula>"ITAÚ MATRIZ"</formula>
      <formula>"ITAÚ MATRIZ"</formula>
    </cfRule>
    <cfRule type="cellIs" dxfId="4493" priority="7317" operator="between">
      <formula>"ITAÚ FILIAL"</formula>
      <formula>"ITAÚ FILIAL"</formula>
    </cfRule>
    <cfRule type="cellIs" dxfId="4492" priority="7316" operator="between">
      <formula>"ITAÚ FILIAL"</formula>
      <formula>"ITAÚ FILIAL"</formula>
    </cfRule>
    <cfRule type="cellIs" dxfId="4491" priority="7315" operator="between">
      <formula>"DAYCOVAL"</formula>
      <formula>"DAYCOVAL"</formula>
    </cfRule>
    <cfRule type="cellIs" dxfId="4490" priority="7314" operator="between">
      <formula>"SAFRA"</formula>
      <formula>"SAFRA"</formula>
    </cfRule>
    <cfRule type="cellIs" dxfId="4489" priority="7313" operator="between">
      <formula>"SAFRA"</formula>
      <formula>"SAFRA"</formula>
    </cfRule>
    <cfRule type="cellIs" dxfId="4488" priority="7312" operator="equal">
      <formula>"ITAÚ MATRIZ"</formula>
    </cfRule>
    <cfRule type="cellIs" dxfId="4487" priority="7311" operator="equal">
      <formula>"ITAÚ"</formula>
    </cfRule>
    <cfRule type="cellIs" dxfId="4486" priority="7310" operator="equal">
      <formula>"ITAÚ"</formula>
    </cfRule>
    <cfRule type="cellIs" dxfId="4485" priority="7309" operator="between">
      <formula>"ITAÚ MATRIZ"</formula>
      <formula>"ITAÚ MATRIZ"</formula>
    </cfRule>
    <cfRule type="cellIs" dxfId="4484" priority="7308" operator="between">
      <formula>"ITAÚ FILIAL"</formula>
      <formula>"ITAÚ FILIAL"</formula>
    </cfRule>
    <cfRule type="cellIs" dxfId="4483" priority="7307" operator="between">
      <formula>"ITAÚ FILIAL"</formula>
      <formula>"ITAÚ FILIAL"</formula>
    </cfRule>
    <cfRule type="cellIs" dxfId="4482" priority="7306" operator="between">
      <formula>"DAYCOVAL"</formula>
      <formula>"DAYCOVAL"</formula>
    </cfRule>
    <cfRule type="cellIs" dxfId="4481" priority="7305" operator="between">
      <formula>"SAFRA"</formula>
      <formula>"SAFRA"</formula>
    </cfRule>
    <cfRule type="cellIs" dxfId="4480" priority="7304" operator="between">
      <formula>"SAFRA"</formula>
      <formula>"SAFRA"</formula>
    </cfRule>
    <cfRule type="cellIs" dxfId="4479" priority="7303" operator="equal">
      <formula>"ITAÚ MATRIZ"</formula>
    </cfRule>
    <cfRule type="cellIs" dxfId="4478" priority="7302" operator="equal">
      <formula>"ITAÚ"</formula>
    </cfRule>
    <cfRule type="cellIs" dxfId="4477" priority="7301" operator="equal">
      <formula>"ITAÚ"</formula>
    </cfRule>
    <cfRule type="cellIs" dxfId="4476" priority="7300" operator="between">
      <formula>"ITAÚ MATRIZ"</formula>
      <formula>"ITAÚ MATRIZ"</formula>
    </cfRule>
    <cfRule type="cellIs" dxfId="4475" priority="7299" operator="between">
      <formula>"ITAÚ FILIAL"</formula>
      <formula>"ITAÚ FILIAL"</formula>
    </cfRule>
    <cfRule type="cellIs" dxfId="4474" priority="7298" operator="between">
      <formula>"ITAÚ FILIAL"</formula>
      <formula>"ITAÚ FILIAL"</formula>
    </cfRule>
    <cfRule type="cellIs" dxfId="4473" priority="7297" operator="between">
      <formula>"DAYCOVAL"</formula>
      <formula>"DAYCOVAL"</formula>
    </cfRule>
    <cfRule type="cellIs" dxfId="4472" priority="7296" operator="between">
      <formula>"SAFRA"</formula>
      <formula>"SAFRA"</formula>
    </cfRule>
    <cfRule type="cellIs" dxfId="4471" priority="7295" operator="between">
      <formula>"SAFRA"</formula>
      <formula>"SAFRA"</formula>
    </cfRule>
    <cfRule type="cellIs" dxfId="4470" priority="7294" operator="equal">
      <formula>"ITAÚ MATRIZ"</formula>
    </cfRule>
    <cfRule type="cellIs" dxfId="4469" priority="7293" operator="equal">
      <formula>"ITAÚ"</formula>
    </cfRule>
    <cfRule type="cellIs" dxfId="4468" priority="7292" operator="equal">
      <formula>"ITAÚ"</formula>
    </cfRule>
    <cfRule type="cellIs" dxfId="4467" priority="7291" operator="between">
      <formula>"ITAÚ MATRIZ"</formula>
      <formula>"ITAÚ MATRIZ"</formula>
    </cfRule>
    <cfRule type="cellIs" dxfId="4466" priority="7290" operator="between">
      <formula>"ITAÚ FILIAL"</formula>
      <formula>"ITAÚ FILIAL"</formula>
    </cfRule>
    <cfRule type="cellIs" dxfId="4465" priority="7289" operator="between">
      <formula>"ITAÚ FILIAL"</formula>
      <formula>"ITAÚ FILIAL"</formula>
    </cfRule>
    <cfRule type="cellIs" dxfId="4464" priority="7288" operator="between">
      <formula>"DAYCOVAL"</formula>
      <formula>"DAYCOVAL"</formula>
    </cfRule>
    <cfRule type="cellIs" dxfId="4463" priority="7287" operator="between">
      <formula>"SAFRA"</formula>
      <formula>"SAFRA"</formula>
    </cfRule>
    <cfRule type="cellIs" dxfId="4462" priority="7286" operator="between">
      <formula>"SAFRA"</formula>
      <formula>"SAFRA"</formula>
    </cfRule>
    <cfRule type="cellIs" dxfId="4461" priority="7285" operator="equal">
      <formula>"ITAÚ MATRIZ"</formula>
    </cfRule>
    <cfRule type="cellIs" dxfId="4460" priority="7284" operator="equal">
      <formula>"ITAÚ"</formula>
    </cfRule>
    <cfRule type="cellIs" dxfId="4459" priority="7283" operator="equal">
      <formula>"ITAÚ"</formula>
    </cfRule>
    <cfRule type="cellIs" dxfId="4458" priority="7282" operator="between">
      <formula>"ITAÚ MATRIZ"</formula>
      <formula>"ITAÚ MATRIZ"</formula>
    </cfRule>
    <cfRule type="cellIs" dxfId="4457" priority="7281" operator="between">
      <formula>"ITAÚ FILIAL"</formula>
      <formula>"ITAÚ FILIAL"</formula>
    </cfRule>
    <cfRule type="cellIs" dxfId="4456" priority="7280" operator="between">
      <formula>"ITAÚ FILIAL"</formula>
      <formula>"ITAÚ FILIAL"</formula>
    </cfRule>
    <cfRule type="cellIs" dxfId="4455" priority="7279" operator="between">
      <formula>"DAYCOVAL"</formula>
      <formula>"DAYCOVAL"</formula>
    </cfRule>
    <cfRule type="cellIs" dxfId="4454" priority="7278" operator="between">
      <formula>"SAFRA"</formula>
      <formula>"SAFRA"</formula>
    </cfRule>
    <cfRule type="cellIs" dxfId="4453" priority="7277" operator="between">
      <formula>"SAFRA"</formula>
      <formula>"SAFRA"</formula>
    </cfRule>
    <cfRule type="cellIs" dxfId="4452" priority="7276" operator="equal">
      <formula>"ITAÚ MATRIZ"</formula>
    </cfRule>
    <cfRule type="cellIs" dxfId="4451" priority="7275" operator="equal">
      <formula>"ITAÚ"</formula>
    </cfRule>
    <cfRule type="cellIs" dxfId="4450" priority="7274" operator="between">
      <formula>"ITAÚ MATRIZ"</formula>
      <formula>"ITAÚ MATRIZ"</formula>
    </cfRule>
    <cfRule type="cellIs" dxfId="4449" priority="7273" operator="equal">
      <formula>"ITAÚ MATRIZ"</formula>
    </cfRule>
    <cfRule type="cellIs" dxfId="4448" priority="7272" operator="equal">
      <formula>"ITAÚ"</formula>
    </cfRule>
    <cfRule type="cellIs" dxfId="4447" priority="7271" operator="between">
      <formula>"ITAÚ FILIAL"</formula>
      <formula>"ITAÚ FILIAL"</formula>
    </cfRule>
    <cfRule type="cellIs" dxfId="4446" priority="7270" operator="between">
      <formula>"ITAÚ FILIAL"</formula>
      <formula>"ITAÚ FILIAL"</formula>
    </cfRule>
    <cfRule type="cellIs" dxfId="4445" priority="7269" operator="between">
      <formula>"DAYCOVAL"</formula>
      <formula>"DAYCOVAL"</formula>
    </cfRule>
    <cfRule type="cellIs" dxfId="4444" priority="7268" operator="between">
      <formula>"SAFRA"</formula>
      <formula>"SAFRA"</formula>
    </cfRule>
    <cfRule type="cellIs" dxfId="4443" priority="7267" operator="between">
      <formula>"SAFRA"</formula>
      <formula>"SAFRA"</formula>
    </cfRule>
    <cfRule type="cellIs" dxfId="4442" priority="7266" operator="equal">
      <formula>"ITAÚ"</formula>
    </cfRule>
    <cfRule type="cellIs" dxfId="4441" priority="7265" operator="equal">
      <formula>"ITAÚ"</formula>
    </cfRule>
    <cfRule type="cellIs" dxfId="4440" priority="7264" operator="between">
      <formula>"ITAÚ MATRIZ"</formula>
      <formula>"ITAÚ MATRIZ"</formula>
    </cfRule>
    <cfRule type="cellIs" dxfId="4439" priority="7263" operator="between">
      <formula>"ITAÚ FILIAL"</formula>
      <formula>"ITAÚ FILIAL"</formula>
    </cfRule>
    <cfRule type="cellIs" dxfId="4438" priority="7262" operator="between">
      <formula>"ITAÚ FILIAL"</formula>
      <formula>"ITAÚ FILIAL"</formula>
    </cfRule>
    <cfRule type="cellIs" dxfId="4437" priority="7261" operator="between">
      <formula>"DAYCOVAL"</formula>
      <formula>"DAYCOVAL"</formula>
    </cfRule>
    <cfRule type="cellIs" dxfId="4436" priority="7260" operator="between">
      <formula>"SAFRA"</formula>
      <formula>"SAFRA"</formula>
    </cfRule>
    <cfRule type="cellIs" dxfId="4435" priority="7259" operator="between">
      <formula>"SAFRA"</formula>
      <formula>"SAFRA"</formula>
    </cfRule>
    <cfRule type="cellIs" dxfId="4434" priority="7258" operator="equal">
      <formula>"ITAÚ MATRIZ"</formula>
    </cfRule>
    <cfRule type="cellIs" dxfId="4433" priority="7257" operator="equal">
      <formula>"ITAÚ"</formula>
    </cfRule>
    <cfRule type="cellIs" dxfId="4432" priority="7256" operator="equal">
      <formula>"ITAÚ"</formula>
    </cfRule>
    <cfRule type="cellIs" dxfId="4431" priority="7255" operator="between">
      <formula>"ITAÚ MATRIZ"</formula>
      <formula>"ITAÚ MATRIZ"</formula>
    </cfRule>
    <cfRule type="cellIs" dxfId="4430" priority="7254" operator="between">
      <formula>"ITAÚ FILIAL"</formula>
      <formula>"ITAÚ FILIAL"</formula>
    </cfRule>
    <cfRule type="cellIs" dxfId="4429" priority="7253" operator="between">
      <formula>"ITAÚ FILIAL"</formula>
      <formula>"ITAÚ FILIAL"</formula>
    </cfRule>
    <cfRule type="cellIs" dxfId="4428" priority="7252" operator="between">
      <formula>"DAYCOVAL"</formula>
      <formula>"DAYCOVAL"</formula>
    </cfRule>
    <cfRule type="cellIs" dxfId="4427" priority="7251" operator="between">
      <formula>"SAFRA"</formula>
      <formula>"SAFRA"</formula>
    </cfRule>
    <cfRule type="cellIs" dxfId="4426" priority="7250" operator="between">
      <formula>"SAFRA"</formula>
      <formula>"SAFRA"</formula>
    </cfRule>
    <cfRule type="cellIs" dxfId="4425" priority="7342" operator="between">
      <formula>"ITAÚ FILIAL"</formula>
      <formula>"ITAÚ FILIAL"</formula>
    </cfRule>
  </conditionalFormatting>
  <conditionalFormatting sqref="I173:I188">
    <cfRule type="cellIs" dxfId="4424" priority="7442" operator="between">
      <formula>"ITAÚ FILIAL"</formula>
      <formula>"ITAÚ FILIAL"</formula>
    </cfRule>
    <cfRule type="cellIs" dxfId="4423" priority="7441" operator="between">
      <formula>"ITAÚ FILIAL"</formula>
      <formula>"ITAÚ FILIAL"</formula>
    </cfRule>
    <cfRule type="cellIs" dxfId="4422" priority="7445" operator="between">
      <formula>"ITAÚ MATRIZ"</formula>
      <formula>"ITAÚ MATRIZ"</formula>
    </cfRule>
  </conditionalFormatting>
  <conditionalFormatting sqref="I174:I188">
    <cfRule type="cellIs" dxfId="4421" priority="7526" operator="between">
      <formula>"ITAÚ FILIAL"</formula>
      <formula>"ITAÚ FILIAL"</formula>
    </cfRule>
    <cfRule type="cellIs" dxfId="4420" priority="7533" operator="between">
      <formula>"ITAÚ FILIAL"</formula>
      <formula>"ITAÚ FILIAL"</formula>
    </cfRule>
    <cfRule type="cellIs" dxfId="4419" priority="7524" operator="between">
      <formula>"DAYCOVAL"</formula>
      <formula>"DAYCOVAL"</formula>
    </cfRule>
    <cfRule type="cellIs" dxfId="4418" priority="7875" operator="equal">
      <formula>"ITAÚ"</formula>
    </cfRule>
    <cfRule type="cellIs" dxfId="4417" priority="7874" operator="between">
      <formula>"ITAÚ MATRIZ"</formula>
      <formula>"ITAÚ MATRIZ"</formula>
    </cfRule>
    <cfRule type="cellIs" dxfId="4416" priority="7873" operator="equal">
      <formula>"ITAÚ MATRIZ"</formula>
    </cfRule>
    <cfRule type="cellIs" dxfId="4415" priority="7872" operator="equal">
      <formula>"ITAÚ"</formula>
    </cfRule>
    <cfRule type="cellIs" dxfId="4414" priority="7871" operator="between">
      <formula>"ITAÚ FILIAL"</formula>
      <formula>"ITAÚ FILIAL"</formula>
    </cfRule>
    <cfRule type="cellIs" dxfId="4413" priority="7870" operator="between">
      <formula>"ITAÚ FILIAL"</formula>
      <formula>"ITAÚ FILIAL"</formula>
    </cfRule>
    <cfRule type="cellIs" dxfId="4412" priority="7869" operator="between">
      <formula>"DAYCOVAL"</formula>
      <formula>"DAYCOVAL"</formula>
    </cfRule>
    <cfRule type="cellIs" dxfId="4411" priority="7868" operator="between">
      <formula>"SAFRA"</formula>
      <formula>"SAFRA"</formula>
    </cfRule>
    <cfRule type="cellIs" dxfId="4410" priority="7867" operator="between">
      <formula>"SAFRA"</formula>
      <formula>"SAFRA"</formula>
    </cfRule>
    <cfRule type="cellIs" dxfId="4409" priority="7866" operator="equal">
      <formula>"ITAÚ"</formula>
    </cfRule>
    <cfRule type="cellIs" dxfId="4408" priority="7865" operator="between">
      <formula>"ITAÚ MATRIZ"</formula>
      <formula>"ITAÚ MATRIZ"</formula>
    </cfRule>
    <cfRule type="cellIs" dxfId="4407" priority="7864" operator="equal">
      <formula>"ITAÚ MATRIZ"</formula>
    </cfRule>
    <cfRule type="cellIs" dxfId="4406" priority="7863" operator="equal">
      <formula>"ITAÚ"</formula>
    </cfRule>
    <cfRule type="cellIs" dxfId="4405" priority="7862" operator="between">
      <formula>"ITAÚ FILIAL"</formula>
      <formula>"ITAÚ FILIAL"</formula>
    </cfRule>
    <cfRule type="cellIs" dxfId="4404" priority="7861" operator="between">
      <formula>"ITAÚ FILIAL"</formula>
      <formula>"ITAÚ FILIAL"</formula>
    </cfRule>
    <cfRule type="cellIs" dxfId="4403" priority="7860" operator="between">
      <formula>"DAYCOVAL"</formula>
      <formula>"DAYCOVAL"</formula>
    </cfRule>
    <cfRule type="cellIs" dxfId="4402" priority="7859" operator="between">
      <formula>"SAFRA"</formula>
      <formula>"SAFRA"</formula>
    </cfRule>
    <cfRule type="cellIs" dxfId="4401" priority="7858" operator="between">
      <formula>"SAFRA"</formula>
      <formula>"SAFRA"</formula>
    </cfRule>
    <cfRule type="cellIs" dxfId="4400" priority="7857" operator="equal">
      <formula>"ITAÚ"</formula>
    </cfRule>
    <cfRule type="cellIs" dxfId="4399" priority="7856" operator="equal">
      <formula>"ITAÚ"</formula>
    </cfRule>
    <cfRule type="cellIs" dxfId="4398" priority="7855" operator="between">
      <formula>"ITAÚ MATRIZ"</formula>
      <formula>"ITAÚ MATRIZ"</formula>
    </cfRule>
    <cfRule type="cellIs" dxfId="4397" priority="7854" operator="between">
      <formula>"ITAÚ FILIAL"</formula>
      <formula>"ITAÚ FILIAL"</formula>
    </cfRule>
    <cfRule type="cellIs" dxfId="4396" priority="7853" operator="between">
      <formula>"ITAÚ FILIAL"</formula>
      <formula>"ITAÚ FILIAL"</formula>
    </cfRule>
    <cfRule type="cellIs" dxfId="4395" priority="7852" operator="between">
      <formula>"DAYCOVAL"</formula>
      <formula>"DAYCOVAL"</formula>
    </cfRule>
    <cfRule type="cellIs" dxfId="4394" priority="7851" operator="between">
      <formula>"SAFRA"</formula>
      <formula>"SAFRA"</formula>
    </cfRule>
    <cfRule type="cellIs" dxfId="4393" priority="7850" operator="between">
      <formula>"SAFRA"</formula>
      <formula>"SAFRA"</formula>
    </cfRule>
    <cfRule type="cellIs" dxfId="4392" priority="7849" operator="equal">
      <formula>"ITAÚ MATRIZ"</formula>
    </cfRule>
    <cfRule type="cellIs" dxfId="4391" priority="7848" operator="equal">
      <formula>"ITAÚ"</formula>
    </cfRule>
    <cfRule type="cellIs" dxfId="4390" priority="7847" operator="between">
      <formula>"ITAÚ MATRIZ"</formula>
      <formula>"ITAÚ MATRIZ"</formula>
    </cfRule>
    <cfRule type="cellIs" dxfId="4389" priority="7846" operator="equal">
      <formula>"ITAÚ MATRIZ"</formula>
    </cfRule>
    <cfRule type="cellIs" dxfId="4388" priority="7845" operator="equal">
      <formula>"ITAÚ"</formula>
    </cfRule>
    <cfRule type="cellIs" dxfId="4387" priority="7844" operator="between">
      <formula>"ITAÚ FILIAL"</formula>
      <formula>"ITAÚ FILIAL"</formula>
    </cfRule>
    <cfRule type="cellIs" dxfId="4386" priority="7843" operator="between">
      <formula>"ITAÚ FILIAL"</formula>
      <formula>"ITAÚ FILIAL"</formula>
    </cfRule>
    <cfRule type="cellIs" dxfId="4385" priority="7842" operator="between">
      <formula>"DAYCOVAL"</formula>
      <formula>"DAYCOVAL"</formula>
    </cfRule>
    <cfRule type="cellIs" dxfId="4384" priority="7841" operator="between">
      <formula>"SAFRA"</formula>
      <formula>"SAFRA"</formula>
    </cfRule>
    <cfRule type="cellIs" dxfId="4383" priority="7840" operator="between">
      <formula>"SAFRA"</formula>
      <formula>"SAFRA"</formula>
    </cfRule>
    <cfRule type="cellIs" dxfId="4382" priority="7839" operator="equal">
      <formula>"ITAÚ"</formula>
    </cfRule>
    <cfRule type="cellIs" dxfId="4381" priority="7838" operator="equal">
      <formula>"ITAÚ"</formula>
    </cfRule>
    <cfRule type="cellIs" dxfId="4380" priority="7837" operator="between">
      <formula>"ITAÚ MATRIZ"</formula>
      <formula>"ITAÚ MATRIZ"</formula>
    </cfRule>
    <cfRule type="cellIs" dxfId="4379" priority="7836" operator="between">
      <formula>"ITAÚ FILIAL"</formula>
      <formula>"ITAÚ FILIAL"</formula>
    </cfRule>
    <cfRule type="cellIs" dxfId="4378" priority="7835" operator="between">
      <formula>"ITAÚ FILIAL"</formula>
      <formula>"ITAÚ FILIAL"</formula>
    </cfRule>
    <cfRule type="cellIs" dxfId="4377" priority="7834" operator="between">
      <formula>"DAYCOVAL"</formula>
      <formula>"DAYCOVAL"</formula>
    </cfRule>
    <cfRule type="cellIs" dxfId="4376" priority="7833" operator="between">
      <formula>"SAFRA"</formula>
      <formula>"SAFRA"</formula>
    </cfRule>
    <cfRule type="cellIs" dxfId="4375" priority="7832" operator="between">
      <formula>"SAFRA"</formula>
      <formula>"SAFRA"</formula>
    </cfRule>
    <cfRule type="cellIs" dxfId="4374" priority="7831" operator="equal">
      <formula>"ITAÚ MATRIZ"</formula>
    </cfRule>
    <cfRule type="cellIs" dxfId="4373" priority="7830" operator="equal">
      <formula>"ITAÚ"</formula>
    </cfRule>
    <cfRule type="cellIs" dxfId="4372" priority="7829" operator="between">
      <formula>"ITAÚ MATRIZ"</formula>
      <formula>"ITAÚ MATRIZ"</formula>
    </cfRule>
    <cfRule type="cellIs" dxfId="4371" priority="7828" operator="equal">
      <formula>"ITAÚ MATRIZ"</formula>
    </cfRule>
    <cfRule type="cellIs" dxfId="4370" priority="7827" operator="equal">
      <formula>"ITAÚ"</formula>
    </cfRule>
    <cfRule type="cellIs" dxfId="4369" priority="7826" operator="between">
      <formula>"ITAÚ FILIAL"</formula>
      <formula>"ITAÚ FILIAL"</formula>
    </cfRule>
    <cfRule type="cellIs" dxfId="4368" priority="7825" operator="between">
      <formula>"ITAÚ FILIAL"</formula>
      <formula>"ITAÚ FILIAL"</formula>
    </cfRule>
    <cfRule type="cellIs" dxfId="4367" priority="7824" operator="between">
      <formula>"DAYCOVAL"</formula>
      <formula>"DAYCOVAL"</formula>
    </cfRule>
    <cfRule type="cellIs" dxfId="4366" priority="7823" operator="between">
      <formula>"SAFRA"</formula>
      <formula>"SAFRA"</formula>
    </cfRule>
    <cfRule type="cellIs" dxfId="4365" priority="7822" operator="between">
      <formula>"SAFRA"</formula>
      <formula>"SAFRA"</formula>
    </cfRule>
    <cfRule type="cellIs" dxfId="4364" priority="7821" operator="equal">
      <formula>"ITAÚ"</formula>
    </cfRule>
    <cfRule type="cellIs" dxfId="4363" priority="7820" operator="equal">
      <formula>"ITAÚ"</formula>
    </cfRule>
    <cfRule type="cellIs" dxfId="4362" priority="7819" operator="between">
      <formula>"ITAÚ MATRIZ"</formula>
      <formula>"ITAÚ MATRIZ"</formula>
    </cfRule>
    <cfRule type="cellIs" dxfId="4361" priority="7818" operator="between">
      <formula>"ITAÚ FILIAL"</formula>
      <formula>"ITAÚ FILIAL"</formula>
    </cfRule>
    <cfRule type="cellIs" dxfId="4360" priority="7817" operator="between">
      <formula>"ITAÚ FILIAL"</formula>
      <formula>"ITAÚ FILIAL"</formula>
    </cfRule>
    <cfRule type="cellIs" dxfId="4359" priority="7816" operator="between">
      <formula>"DAYCOVAL"</formula>
      <formula>"DAYCOVAL"</formula>
    </cfRule>
    <cfRule type="cellIs" dxfId="4358" priority="7815" operator="between">
      <formula>"SAFRA"</formula>
      <formula>"SAFRA"</formula>
    </cfRule>
    <cfRule type="cellIs" dxfId="4357" priority="7814" operator="between">
      <formula>"SAFRA"</formula>
      <formula>"SAFRA"</formula>
    </cfRule>
    <cfRule type="cellIs" dxfId="4356" priority="7813" operator="equal">
      <formula>"ITAÚ MATRIZ"</formula>
    </cfRule>
    <cfRule type="cellIs" dxfId="4355" priority="7812" operator="equal">
      <formula>"ITAÚ"</formula>
    </cfRule>
    <cfRule type="cellIs" dxfId="4354" priority="7811" operator="equal">
      <formula>"ITAÚ"</formula>
    </cfRule>
    <cfRule type="cellIs" dxfId="4353" priority="7810" operator="between">
      <formula>"ITAÚ MATRIZ"</formula>
      <formula>"ITAÚ MATRIZ"</formula>
    </cfRule>
    <cfRule type="cellIs" dxfId="4352" priority="7809" operator="between">
      <formula>"ITAÚ FILIAL"</formula>
      <formula>"ITAÚ FILIAL"</formula>
    </cfRule>
    <cfRule type="cellIs" dxfId="4351" priority="7808" operator="between">
      <formula>"ITAÚ FILIAL"</formula>
      <formula>"ITAÚ FILIAL"</formula>
    </cfRule>
    <cfRule type="cellIs" dxfId="4350" priority="7807" operator="between">
      <formula>"DAYCOVAL"</formula>
      <formula>"DAYCOVAL"</formula>
    </cfRule>
    <cfRule type="cellIs" dxfId="4349" priority="7806" operator="between">
      <formula>"SAFRA"</formula>
      <formula>"SAFRA"</formula>
    </cfRule>
    <cfRule type="cellIs" dxfId="4348" priority="7805" operator="between">
      <formula>"SAFRA"</formula>
      <formula>"SAFRA"</formula>
    </cfRule>
    <cfRule type="cellIs" dxfId="4347" priority="7804" operator="equal">
      <formula>"ITAÚ MATRIZ"</formula>
    </cfRule>
    <cfRule type="cellIs" dxfId="4346" priority="7803" operator="equal">
      <formula>"ITAÚ"</formula>
    </cfRule>
    <cfRule type="cellIs" dxfId="4345" priority="7802" operator="equal">
      <formula>"ITAÚ"</formula>
    </cfRule>
    <cfRule type="cellIs" dxfId="4344" priority="7801" operator="between">
      <formula>"ITAÚ MATRIZ"</formula>
      <formula>"ITAÚ MATRIZ"</formula>
    </cfRule>
    <cfRule type="cellIs" dxfId="4343" priority="7800" operator="between">
      <formula>"ITAÚ FILIAL"</formula>
      <formula>"ITAÚ FILIAL"</formula>
    </cfRule>
    <cfRule type="cellIs" dxfId="4342" priority="7799" operator="between">
      <formula>"ITAÚ FILIAL"</formula>
      <formula>"ITAÚ FILIAL"</formula>
    </cfRule>
    <cfRule type="cellIs" dxfId="4341" priority="7798" operator="between">
      <formula>"DAYCOVAL"</formula>
      <formula>"DAYCOVAL"</formula>
    </cfRule>
    <cfRule type="cellIs" dxfId="4340" priority="7797" operator="between">
      <formula>"SAFRA"</formula>
      <formula>"SAFRA"</formula>
    </cfRule>
    <cfRule type="cellIs" dxfId="4339" priority="7796" operator="between">
      <formula>"SAFRA"</formula>
      <formula>"SAFRA"</formula>
    </cfRule>
    <cfRule type="cellIs" dxfId="4338" priority="7795" operator="equal">
      <formula>"ITAÚ MATRIZ"</formula>
    </cfRule>
    <cfRule type="cellIs" dxfId="4337" priority="7794" operator="equal">
      <formula>"ITAÚ"</formula>
    </cfRule>
    <cfRule type="cellIs" dxfId="4336" priority="7793" operator="equal">
      <formula>"ITAÚ"</formula>
    </cfRule>
    <cfRule type="cellIs" dxfId="4335" priority="7792" operator="between">
      <formula>"ITAÚ MATRIZ"</formula>
      <formula>"ITAÚ MATRIZ"</formula>
    </cfRule>
    <cfRule type="cellIs" dxfId="4334" priority="7791" operator="between">
      <formula>"ITAÚ FILIAL"</formula>
      <formula>"ITAÚ FILIAL"</formula>
    </cfRule>
    <cfRule type="cellIs" dxfId="4333" priority="7790" operator="between">
      <formula>"ITAÚ FILIAL"</formula>
      <formula>"ITAÚ FILIAL"</formula>
    </cfRule>
    <cfRule type="cellIs" dxfId="4332" priority="7789" operator="between">
      <formula>"DAYCOVAL"</formula>
      <formula>"DAYCOVAL"</formula>
    </cfRule>
    <cfRule type="cellIs" dxfId="4331" priority="7788" operator="between">
      <formula>"SAFRA"</formula>
      <formula>"SAFRA"</formula>
    </cfRule>
    <cfRule type="cellIs" dxfId="4330" priority="7787" operator="between">
      <formula>"SAFRA"</formula>
      <formula>"SAFRA"</formula>
    </cfRule>
    <cfRule type="cellIs" dxfId="4329" priority="7786" operator="equal">
      <formula>"ITAÚ MATRIZ"</formula>
    </cfRule>
    <cfRule type="cellIs" dxfId="4328" priority="7785" operator="equal">
      <formula>"ITAÚ"</formula>
    </cfRule>
    <cfRule type="cellIs" dxfId="4327" priority="7784" operator="equal">
      <formula>"ITAÚ"</formula>
    </cfRule>
    <cfRule type="cellIs" dxfId="4326" priority="7783" operator="between">
      <formula>"ITAÚ MATRIZ"</formula>
      <formula>"ITAÚ MATRIZ"</formula>
    </cfRule>
    <cfRule type="cellIs" dxfId="4325" priority="7782" operator="between">
      <formula>"ITAÚ FILIAL"</formula>
      <formula>"ITAÚ FILIAL"</formula>
    </cfRule>
    <cfRule type="cellIs" dxfId="4324" priority="7781" operator="between">
      <formula>"ITAÚ FILIAL"</formula>
      <formula>"ITAÚ FILIAL"</formula>
    </cfRule>
    <cfRule type="cellIs" dxfId="4323" priority="7780" operator="between">
      <formula>"DAYCOVAL"</formula>
      <formula>"DAYCOVAL"</formula>
    </cfRule>
    <cfRule type="cellIs" dxfId="4322" priority="7779" operator="between">
      <formula>"SAFRA"</formula>
      <formula>"SAFRA"</formula>
    </cfRule>
    <cfRule type="cellIs" dxfId="4321" priority="7778" operator="between">
      <formula>"SAFRA"</formula>
      <formula>"SAFRA"</formula>
    </cfRule>
    <cfRule type="cellIs" dxfId="4320" priority="7777" operator="equal">
      <formula>"ITAÚ MATRIZ"</formula>
    </cfRule>
    <cfRule type="cellIs" dxfId="4319" priority="7776" operator="equal">
      <formula>"ITAÚ"</formula>
    </cfRule>
    <cfRule type="cellIs" dxfId="4318" priority="7775" operator="between">
      <formula>"ITAÚ MATRIZ"</formula>
      <formula>"ITAÚ MATRIZ"</formula>
    </cfRule>
    <cfRule type="cellIs" dxfId="4317" priority="7774" operator="equal">
      <formula>"ITAÚ MATRIZ"</formula>
    </cfRule>
    <cfRule type="cellIs" dxfId="4316" priority="7773" operator="equal">
      <formula>"ITAÚ"</formula>
    </cfRule>
    <cfRule type="cellIs" dxfId="4315" priority="7772" operator="between">
      <formula>"ITAÚ FILIAL"</formula>
      <formula>"ITAÚ FILIAL"</formula>
    </cfRule>
    <cfRule type="cellIs" dxfId="4314" priority="7771" operator="between">
      <formula>"ITAÚ FILIAL"</formula>
      <formula>"ITAÚ FILIAL"</formula>
    </cfRule>
    <cfRule type="cellIs" dxfId="4313" priority="7770" operator="between">
      <formula>"DAYCOVAL"</formula>
      <formula>"DAYCOVAL"</formula>
    </cfRule>
    <cfRule type="cellIs" dxfId="4312" priority="7769" operator="between">
      <formula>"SAFRA"</formula>
      <formula>"SAFRA"</formula>
    </cfRule>
    <cfRule type="cellIs" dxfId="4311" priority="7768" operator="between">
      <formula>"SAFRA"</formula>
      <formula>"SAFRA"</formula>
    </cfRule>
    <cfRule type="cellIs" dxfId="4310" priority="7767" operator="equal">
      <formula>"ITAÚ"</formula>
    </cfRule>
    <cfRule type="cellIs" dxfId="4309" priority="7766" operator="equal">
      <formula>"ITAÚ"</formula>
    </cfRule>
    <cfRule type="cellIs" dxfId="4308" priority="7765" operator="between">
      <formula>"ITAÚ MATRIZ"</formula>
      <formula>"ITAÚ MATRIZ"</formula>
    </cfRule>
    <cfRule type="cellIs" dxfId="4307" priority="7764" operator="between">
      <formula>"ITAÚ FILIAL"</formula>
      <formula>"ITAÚ FILIAL"</formula>
    </cfRule>
    <cfRule type="cellIs" dxfId="4306" priority="7763" operator="between">
      <formula>"ITAÚ FILIAL"</formula>
      <formula>"ITAÚ FILIAL"</formula>
    </cfRule>
    <cfRule type="cellIs" dxfId="4305" priority="7762" operator="between">
      <formula>"DAYCOVAL"</formula>
      <formula>"DAYCOVAL"</formula>
    </cfRule>
    <cfRule type="cellIs" dxfId="4304" priority="7761" operator="between">
      <formula>"SAFRA"</formula>
      <formula>"SAFRA"</formula>
    </cfRule>
    <cfRule type="cellIs" dxfId="4303" priority="7760" operator="between">
      <formula>"SAFRA"</formula>
      <formula>"SAFRA"</formula>
    </cfRule>
    <cfRule type="cellIs" dxfId="4302" priority="7759" operator="equal">
      <formula>"ITAÚ MATRIZ"</formula>
    </cfRule>
    <cfRule type="cellIs" dxfId="4301" priority="7758" operator="equal">
      <formula>"ITAÚ"</formula>
    </cfRule>
    <cfRule type="cellIs" dxfId="4300" priority="7757" operator="between">
      <formula>"ITAÚ MATRIZ"</formula>
      <formula>"ITAÚ MATRIZ"</formula>
    </cfRule>
    <cfRule type="cellIs" dxfId="4299" priority="7756" operator="equal">
      <formula>"ITAÚ MATRIZ"</formula>
    </cfRule>
    <cfRule type="cellIs" dxfId="4298" priority="7755" operator="equal">
      <formula>"ITAÚ"</formula>
    </cfRule>
    <cfRule type="cellIs" dxfId="4297" priority="7754" operator="between">
      <formula>"ITAÚ FILIAL"</formula>
      <formula>"ITAÚ FILIAL"</formula>
    </cfRule>
    <cfRule type="cellIs" dxfId="4296" priority="7753" operator="between">
      <formula>"ITAÚ FILIAL"</formula>
      <formula>"ITAÚ FILIAL"</formula>
    </cfRule>
    <cfRule type="cellIs" dxfId="4295" priority="7752" operator="between">
      <formula>"DAYCOVAL"</formula>
      <formula>"DAYCOVAL"</formula>
    </cfRule>
    <cfRule type="cellIs" dxfId="4294" priority="7751" operator="between">
      <formula>"SAFRA"</formula>
      <formula>"SAFRA"</formula>
    </cfRule>
    <cfRule type="cellIs" dxfId="4293" priority="7750" operator="between">
      <formula>"SAFRA"</formula>
      <formula>"SAFRA"</formula>
    </cfRule>
    <cfRule type="cellIs" dxfId="4292" priority="7749" operator="equal">
      <formula>"ITAÚ"</formula>
    </cfRule>
    <cfRule type="cellIs" dxfId="4291" priority="7523" operator="between">
      <formula>"SAFRA"</formula>
      <formula>"SAFRA"</formula>
    </cfRule>
    <cfRule type="cellIs" dxfId="4290" priority="7522" operator="between">
      <formula>"SAFRA"</formula>
      <formula>"SAFRA"</formula>
    </cfRule>
    <cfRule type="cellIs" dxfId="4289" priority="7521" operator="equal">
      <formula>"ITAÚ MATRIZ"</formula>
    </cfRule>
    <cfRule type="cellIs" dxfId="4288" priority="7748" operator="equal">
      <formula>"ITAÚ"</formula>
    </cfRule>
    <cfRule type="cellIs" dxfId="4287" priority="7747" operator="between">
      <formula>"ITAÚ MATRIZ"</formula>
      <formula>"ITAÚ MATRIZ"</formula>
    </cfRule>
    <cfRule type="cellIs" dxfId="4286" priority="7520" operator="equal">
      <formula>"ITAÚ"</formula>
    </cfRule>
    <cfRule type="cellIs" dxfId="4285" priority="7519" operator="equal">
      <formula>"ITAÚ"</formula>
    </cfRule>
    <cfRule type="cellIs" dxfId="4284" priority="7746" operator="between">
      <formula>"ITAÚ FILIAL"</formula>
      <formula>"ITAÚ FILIAL"</formula>
    </cfRule>
    <cfRule type="cellIs" dxfId="4283" priority="7518" operator="between">
      <formula>"ITAÚ MATRIZ"</formula>
      <formula>"ITAÚ MATRIZ"</formula>
    </cfRule>
    <cfRule type="cellIs" dxfId="4282" priority="7517" operator="between">
      <formula>"ITAÚ FILIAL"</formula>
      <formula>"ITAÚ FILIAL"</formula>
    </cfRule>
    <cfRule type="cellIs" dxfId="4281" priority="7516" operator="between">
      <formula>"ITAÚ FILIAL"</formula>
      <formula>"ITAÚ FILIAL"</formula>
    </cfRule>
    <cfRule type="cellIs" dxfId="4280" priority="7515" operator="between">
      <formula>"DAYCOVAL"</formula>
      <formula>"DAYCOVAL"</formula>
    </cfRule>
    <cfRule type="cellIs" dxfId="4279" priority="7514" operator="between">
      <formula>"SAFRA"</formula>
      <formula>"SAFRA"</formula>
    </cfRule>
    <cfRule type="cellIs" dxfId="4278" priority="7513" operator="between">
      <formula>"SAFRA"</formula>
      <formula>"SAFRA"</formula>
    </cfRule>
    <cfRule type="cellIs" dxfId="4277" priority="7512" operator="equal">
      <formula>"ITAÚ MATRIZ"</formula>
    </cfRule>
    <cfRule type="cellIs" dxfId="4276" priority="7511" operator="equal">
      <formula>"ITAÚ"</formula>
    </cfRule>
    <cfRule type="cellIs" dxfId="4275" priority="7510" operator="equal">
      <formula>"ITAÚ"</formula>
    </cfRule>
    <cfRule type="cellIs" dxfId="4274" priority="7509" operator="between">
      <formula>"ITAÚ MATRIZ"</formula>
      <formula>"ITAÚ MATRIZ"</formula>
    </cfRule>
    <cfRule type="cellIs" dxfId="4273" priority="7508" operator="between">
      <formula>"ITAÚ FILIAL"</formula>
      <formula>"ITAÚ FILIAL"</formula>
    </cfRule>
    <cfRule type="cellIs" dxfId="4272" priority="7507" operator="between">
      <formula>"ITAÚ FILIAL"</formula>
      <formula>"ITAÚ FILIAL"</formula>
    </cfRule>
    <cfRule type="cellIs" dxfId="4271" priority="7506" operator="between">
      <formula>"DAYCOVAL"</formula>
      <formula>"DAYCOVAL"</formula>
    </cfRule>
    <cfRule type="cellIs" dxfId="4270" priority="7505" operator="between">
      <formula>"SAFRA"</formula>
      <formula>"SAFRA"</formula>
    </cfRule>
    <cfRule type="cellIs" dxfId="4269" priority="7504" operator="between">
      <formula>"SAFRA"</formula>
      <formula>"SAFRA"</formula>
    </cfRule>
    <cfRule type="cellIs" dxfId="4268" priority="7503" operator="equal">
      <formula>"ITAÚ MATRIZ"</formula>
    </cfRule>
    <cfRule type="cellIs" dxfId="4267" priority="7502" operator="equal">
      <formula>"ITAÚ"</formula>
    </cfRule>
    <cfRule type="cellIs" dxfId="4266" priority="7501" operator="equal">
      <formula>"ITAÚ"</formula>
    </cfRule>
    <cfRule type="cellIs" dxfId="4265" priority="7500" operator="between">
      <formula>"ITAÚ MATRIZ"</formula>
      <formula>"ITAÚ MATRIZ"</formula>
    </cfRule>
    <cfRule type="cellIs" dxfId="4264" priority="7499" operator="between">
      <formula>"ITAÚ FILIAL"</formula>
      <formula>"ITAÚ FILIAL"</formula>
    </cfRule>
    <cfRule type="cellIs" dxfId="4263" priority="7498" operator="between">
      <formula>"ITAÚ FILIAL"</formula>
      <formula>"ITAÚ FILIAL"</formula>
    </cfRule>
    <cfRule type="cellIs" dxfId="4262" priority="7497" operator="between">
      <formula>"DAYCOVAL"</formula>
      <formula>"DAYCOVAL"</formula>
    </cfRule>
    <cfRule type="cellIs" dxfId="4261" priority="7496" operator="between">
      <formula>"SAFRA"</formula>
      <formula>"SAFRA"</formula>
    </cfRule>
    <cfRule type="cellIs" dxfId="4260" priority="7495" operator="between">
      <formula>"SAFRA"</formula>
      <formula>"SAFRA"</formula>
    </cfRule>
    <cfRule type="cellIs" dxfId="4259" priority="7494" operator="equal">
      <formula>"ITAÚ MATRIZ"</formula>
    </cfRule>
    <cfRule type="cellIs" dxfId="4258" priority="7493" operator="equal">
      <formula>"ITAÚ"</formula>
    </cfRule>
    <cfRule type="cellIs" dxfId="4257" priority="7492" operator="equal">
      <formula>"ITAÚ"</formula>
    </cfRule>
    <cfRule type="cellIs" dxfId="4256" priority="7491" operator="between">
      <formula>"ITAÚ MATRIZ"</formula>
      <formula>"ITAÚ MATRIZ"</formula>
    </cfRule>
    <cfRule type="cellIs" dxfId="4255" priority="7490" operator="between">
      <formula>"ITAÚ FILIAL"</formula>
      <formula>"ITAÚ FILIAL"</formula>
    </cfRule>
    <cfRule type="cellIs" dxfId="4254" priority="7489" operator="between">
      <formula>"ITAÚ FILIAL"</formula>
      <formula>"ITAÚ FILIAL"</formula>
    </cfRule>
    <cfRule type="cellIs" dxfId="4253" priority="7488" operator="between">
      <formula>"DAYCOVAL"</formula>
      <formula>"DAYCOVAL"</formula>
    </cfRule>
    <cfRule type="cellIs" dxfId="4252" priority="7487" operator="between">
      <formula>"SAFRA"</formula>
      <formula>"SAFRA"</formula>
    </cfRule>
    <cfRule type="cellIs" dxfId="4251" priority="7486" operator="between">
      <formula>"SAFRA"</formula>
      <formula>"SAFRA"</formula>
    </cfRule>
    <cfRule type="cellIs" dxfId="4250" priority="7485" operator="equal">
      <formula>"ITAÚ MATRIZ"</formula>
    </cfRule>
    <cfRule type="cellIs" dxfId="4249" priority="7484" operator="equal">
      <formula>"ITAÚ"</formula>
    </cfRule>
    <cfRule type="cellIs" dxfId="4248" priority="7483" operator="between">
      <formula>"ITAÚ MATRIZ"</formula>
      <formula>"ITAÚ MATRIZ"</formula>
    </cfRule>
    <cfRule type="cellIs" dxfId="4247" priority="7482" operator="equal">
      <formula>"ITAÚ MATRIZ"</formula>
    </cfRule>
    <cfRule type="cellIs" dxfId="4246" priority="7481" operator="equal">
      <formula>"ITAÚ"</formula>
    </cfRule>
    <cfRule type="cellIs" dxfId="4245" priority="7480" operator="between">
      <formula>"ITAÚ FILIAL"</formula>
      <formula>"ITAÚ FILIAL"</formula>
    </cfRule>
    <cfRule type="cellIs" dxfId="4244" priority="7479" operator="between">
      <formula>"ITAÚ FILIAL"</formula>
      <formula>"ITAÚ FILIAL"</formula>
    </cfRule>
    <cfRule type="cellIs" dxfId="4243" priority="7478" operator="between">
      <formula>"DAYCOVAL"</formula>
      <formula>"DAYCOVAL"</formula>
    </cfRule>
    <cfRule type="cellIs" dxfId="4242" priority="7477" operator="between">
      <formula>"SAFRA"</formula>
      <formula>"SAFRA"</formula>
    </cfRule>
    <cfRule type="cellIs" dxfId="4241" priority="7476" operator="between">
      <formula>"SAFRA"</formula>
      <formula>"SAFRA"</formula>
    </cfRule>
    <cfRule type="cellIs" dxfId="4240" priority="7745" operator="between">
      <formula>"ITAÚ FILIAL"</formula>
      <formula>"ITAÚ FILIAL"</formula>
    </cfRule>
    <cfRule type="cellIs" dxfId="4239" priority="7475" operator="equal">
      <formula>"ITAÚ"</formula>
    </cfRule>
    <cfRule type="cellIs" dxfId="4238" priority="7527" operator="between">
      <formula>"ITAÚ MATRIZ"</formula>
      <formula>"ITAÚ MATRIZ"</formula>
    </cfRule>
    <cfRule type="cellIs" dxfId="4237" priority="7474" operator="equal">
      <formula>"ITAÚ"</formula>
    </cfRule>
    <cfRule type="cellIs" dxfId="4236" priority="7473" operator="between">
      <formula>"ITAÚ MATRIZ"</formula>
      <formula>"ITAÚ MATRIZ"</formula>
    </cfRule>
    <cfRule type="cellIs" dxfId="4235" priority="7472" operator="between">
      <formula>"ITAÚ FILIAL"</formula>
      <formula>"ITAÚ FILIAL"</formula>
    </cfRule>
    <cfRule type="cellIs" dxfId="4234" priority="7471" operator="between">
      <formula>"ITAÚ FILIAL"</formula>
      <formula>"ITAÚ FILIAL"</formula>
    </cfRule>
    <cfRule type="cellIs" dxfId="4233" priority="7470" operator="between">
      <formula>"DAYCOVAL"</formula>
      <formula>"DAYCOVAL"</formula>
    </cfRule>
    <cfRule type="cellIs" dxfId="4232" priority="7469" operator="between">
      <formula>"SAFRA"</formula>
      <formula>"SAFRA"</formula>
    </cfRule>
    <cfRule type="cellIs" dxfId="4231" priority="7468" operator="between">
      <formula>"SAFRA"</formula>
      <formula>"SAFRA"</formula>
    </cfRule>
    <cfRule type="cellIs" dxfId="4230" priority="7467" operator="equal">
      <formula>"ITAÚ MATRIZ"</formula>
    </cfRule>
    <cfRule type="cellIs" dxfId="4229" priority="7744" operator="between">
      <formula>"DAYCOVAL"</formula>
      <formula>"DAYCOVAL"</formula>
    </cfRule>
    <cfRule type="cellIs" dxfId="4228" priority="7743" operator="between">
      <formula>"SAFRA"</formula>
      <formula>"SAFRA"</formula>
    </cfRule>
    <cfRule type="cellIs" dxfId="4227" priority="7532" operator="between">
      <formula>"DAYCOVAL"</formula>
      <formula>"DAYCOVAL"</formula>
    </cfRule>
    <cfRule type="cellIs" dxfId="4226" priority="7741" operator="equal">
      <formula>"ITAÚ MATRIZ"</formula>
    </cfRule>
    <cfRule type="cellIs" dxfId="4225" priority="7740" operator="equal">
      <formula>"ITAÚ"</formula>
    </cfRule>
    <cfRule type="cellIs" dxfId="4224" priority="7739" operator="equal">
      <formula>"ITAÚ"</formula>
    </cfRule>
    <cfRule type="cellIs" dxfId="4223" priority="7738" operator="between">
      <formula>"ITAÚ MATRIZ"</formula>
      <formula>"ITAÚ MATRIZ"</formula>
    </cfRule>
    <cfRule type="cellIs" dxfId="4222" priority="7737" operator="between">
      <formula>"ITAÚ FILIAL"</formula>
      <formula>"ITAÚ FILIAL"</formula>
    </cfRule>
    <cfRule type="cellIs" dxfId="4221" priority="7736" operator="between">
      <formula>"ITAÚ FILIAL"</formula>
      <formula>"ITAÚ FILIAL"</formula>
    </cfRule>
    <cfRule type="cellIs" dxfId="4220" priority="7735" operator="between">
      <formula>"DAYCOVAL"</formula>
      <formula>"DAYCOVAL"</formula>
    </cfRule>
    <cfRule type="cellIs" dxfId="4219" priority="7734" operator="between">
      <formula>"SAFRA"</formula>
      <formula>"SAFRA"</formula>
    </cfRule>
    <cfRule type="cellIs" dxfId="4218" priority="7733" operator="between">
      <formula>"SAFRA"</formula>
      <formula>"SAFRA"</formula>
    </cfRule>
    <cfRule type="cellIs" dxfId="4217" priority="7732" operator="equal">
      <formula>"ITAÚ MATRIZ"</formula>
    </cfRule>
    <cfRule type="cellIs" dxfId="4216" priority="7731" operator="equal">
      <formula>"ITAÚ"</formula>
    </cfRule>
    <cfRule type="cellIs" dxfId="4215" priority="7730" operator="equal">
      <formula>"ITAÚ"</formula>
    </cfRule>
    <cfRule type="cellIs" dxfId="4214" priority="7729" operator="between">
      <formula>"ITAÚ MATRIZ"</formula>
      <formula>"ITAÚ MATRIZ"</formula>
    </cfRule>
    <cfRule type="cellIs" dxfId="4213" priority="7728" operator="between">
      <formula>"ITAÚ FILIAL"</formula>
      <formula>"ITAÚ FILIAL"</formula>
    </cfRule>
    <cfRule type="cellIs" dxfId="4212" priority="7727" operator="between">
      <formula>"ITAÚ FILIAL"</formula>
      <formula>"ITAÚ FILIAL"</formula>
    </cfRule>
    <cfRule type="cellIs" dxfId="4211" priority="7726" operator="between">
      <formula>"DAYCOVAL"</formula>
      <formula>"DAYCOVAL"</formula>
    </cfRule>
    <cfRule type="cellIs" dxfId="4210" priority="7725" operator="between">
      <formula>"SAFRA"</formula>
      <formula>"SAFRA"</formula>
    </cfRule>
    <cfRule type="cellIs" dxfId="4209" priority="7724" operator="between">
      <formula>"SAFRA"</formula>
      <formula>"SAFRA"</formula>
    </cfRule>
    <cfRule type="cellIs" dxfId="4208" priority="7723" operator="equal">
      <formula>"ITAÚ MATRIZ"</formula>
    </cfRule>
    <cfRule type="cellIs" dxfId="4207" priority="7722" operator="equal">
      <formula>"ITAÚ"</formula>
    </cfRule>
    <cfRule type="cellIs" dxfId="4206" priority="7721" operator="equal">
      <formula>"ITAÚ"</formula>
    </cfRule>
    <cfRule type="cellIs" dxfId="4205" priority="7720" operator="between">
      <formula>"ITAÚ MATRIZ"</formula>
      <formula>"ITAÚ MATRIZ"</formula>
    </cfRule>
    <cfRule type="cellIs" dxfId="4204" priority="7719" operator="between">
      <formula>"ITAÚ FILIAL"</formula>
      <formula>"ITAÚ FILIAL"</formula>
    </cfRule>
    <cfRule type="cellIs" dxfId="4203" priority="7718" operator="between">
      <formula>"ITAÚ FILIAL"</formula>
      <formula>"ITAÚ FILIAL"</formula>
    </cfRule>
    <cfRule type="cellIs" dxfId="4202" priority="7717" operator="between">
      <formula>"DAYCOVAL"</formula>
      <formula>"DAYCOVAL"</formula>
    </cfRule>
    <cfRule type="cellIs" dxfId="4201" priority="7716" operator="between">
      <formula>"SAFRA"</formula>
      <formula>"SAFRA"</formula>
    </cfRule>
    <cfRule type="cellIs" dxfId="4200" priority="7715" operator="between">
      <formula>"SAFRA"</formula>
      <formula>"SAFRA"</formula>
    </cfRule>
    <cfRule type="cellIs" dxfId="4199" priority="7714" operator="equal">
      <formula>"ITAÚ MATRIZ"</formula>
    </cfRule>
    <cfRule type="cellIs" dxfId="4198" priority="7713" operator="equal">
      <formula>"ITAÚ"</formula>
    </cfRule>
    <cfRule type="cellIs" dxfId="4197" priority="7712" operator="equal">
      <formula>"ITAÚ"</formula>
    </cfRule>
    <cfRule type="cellIs" dxfId="4196" priority="7711" operator="between">
      <formula>"ITAÚ MATRIZ"</formula>
      <formula>"ITAÚ MATRIZ"</formula>
    </cfRule>
    <cfRule type="cellIs" dxfId="4195" priority="7710" operator="between">
      <formula>"ITAÚ FILIAL"</formula>
      <formula>"ITAÚ FILIAL"</formula>
    </cfRule>
    <cfRule type="cellIs" dxfId="4194" priority="7709" operator="between">
      <formula>"ITAÚ FILIAL"</formula>
      <formula>"ITAÚ FILIAL"</formula>
    </cfRule>
    <cfRule type="cellIs" dxfId="4193" priority="7708" operator="between">
      <formula>"DAYCOVAL"</formula>
      <formula>"DAYCOVAL"</formula>
    </cfRule>
    <cfRule type="cellIs" dxfId="4192" priority="7707" operator="between">
      <formula>"SAFRA"</formula>
      <formula>"SAFRA"</formula>
    </cfRule>
    <cfRule type="cellIs" dxfId="4191" priority="7706" operator="between">
      <formula>"SAFRA"</formula>
      <formula>"SAFRA"</formula>
    </cfRule>
    <cfRule type="cellIs" dxfId="4190" priority="7705" operator="equal">
      <formula>"ITAÚ MATRIZ"</formula>
    </cfRule>
    <cfRule type="cellIs" dxfId="4189" priority="7704" operator="equal">
      <formula>"ITAÚ"</formula>
    </cfRule>
    <cfRule type="cellIs" dxfId="4188" priority="7703" operator="between">
      <formula>"ITAÚ MATRIZ"</formula>
      <formula>"ITAÚ MATRIZ"</formula>
    </cfRule>
    <cfRule type="cellIs" dxfId="4187" priority="7702" operator="equal">
      <formula>"ITAÚ MATRIZ"</formula>
    </cfRule>
    <cfRule type="cellIs" dxfId="4186" priority="7701" operator="equal">
      <formula>"ITAÚ"</formula>
    </cfRule>
    <cfRule type="cellIs" dxfId="4185" priority="7700" operator="between">
      <formula>"ITAÚ FILIAL"</formula>
      <formula>"ITAÚ FILIAL"</formula>
    </cfRule>
    <cfRule type="cellIs" dxfId="4184" priority="7699" operator="between">
      <formula>"ITAÚ FILIAL"</formula>
      <formula>"ITAÚ FILIAL"</formula>
    </cfRule>
    <cfRule type="cellIs" dxfId="4183" priority="7698" operator="between">
      <formula>"DAYCOVAL"</formula>
      <formula>"DAYCOVAL"</formula>
    </cfRule>
    <cfRule type="cellIs" dxfId="4182" priority="7697" operator="between">
      <formula>"SAFRA"</formula>
      <formula>"SAFRA"</formula>
    </cfRule>
    <cfRule type="cellIs" dxfId="4181" priority="7696" operator="between">
      <formula>"SAFRA"</formula>
      <formula>"SAFRA"</formula>
    </cfRule>
    <cfRule type="cellIs" dxfId="4180" priority="7695" operator="equal">
      <formula>"ITAÚ"</formula>
    </cfRule>
    <cfRule type="cellIs" dxfId="4179" priority="7694" operator="equal">
      <formula>"ITAÚ"</formula>
    </cfRule>
    <cfRule type="cellIs" dxfId="4178" priority="7693" operator="between">
      <formula>"ITAÚ MATRIZ"</formula>
      <formula>"ITAÚ MATRIZ"</formula>
    </cfRule>
    <cfRule type="cellIs" dxfId="4177" priority="7692" operator="between">
      <formula>"ITAÚ FILIAL"</formula>
      <formula>"ITAÚ FILIAL"</formula>
    </cfRule>
    <cfRule type="cellIs" dxfId="4176" priority="7691" operator="between">
      <formula>"ITAÚ FILIAL"</formula>
      <formula>"ITAÚ FILIAL"</formula>
    </cfRule>
    <cfRule type="cellIs" dxfId="4175" priority="7690" operator="between">
      <formula>"DAYCOVAL"</formula>
      <formula>"DAYCOVAL"</formula>
    </cfRule>
    <cfRule type="cellIs" dxfId="4174" priority="7689" operator="between">
      <formula>"SAFRA"</formula>
      <formula>"SAFRA"</formula>
    </cfRule>
    <cfRule type="cellIs" dxfId="4173" priority="7688" operator="between">
      <formula>"SAFRA"</formula>
      <formula>"SAFRA"</formula>
    </cfRule>
    <cfRule type="cellIs" dxfId="4172" priority="7687" operator="equal">
      <formula>"ITAÚ MATRIZ"</formula>
    </cfRule>
    <cfRule type="cellIs" dxfId="4171" priority="7686" operator="equal">
      <formula>"ITAÚ"</formula>
    </cfRule>
    <cfRule type="cellIs" dxfId="4170" priority="7685" operator="equal">
      <formula>"ITAÚ"</formula>
    </cfRule>
    <cfRule type="cellIs" dxfId="4169" priority="7684" operator="between">
      <formula>"ITAÚ MATRIZ"</formula>
      <formula>"ITAÚ MATRIZ"</formula>
    </cfRule>
    <cfRule type="cellIs" dxfId="4168" priority="7683" operator="between">
      <formula>"ITAÚ FILIAL"</formula>
      <formula>"ITAÚ FILIAL"</formula>
    </cfRule>
    <cfRule type="cellIs" dxfId="4167" priority="7682" operator="between">
      <formula>"ITAÚ FILIAL"</formula>
      <formula>"ITAÚ FILIAL"</formula>
    </cfRule>
    <cfRule type="cellIs" dxfId="4166" priority="7681" operator="between">
      <formula>"DAYCOVAL"</formula>
      <formula>"DAYCOVAL"</formula>
    </cfRule>
    <cfRule type="cellIs" dxfId="4165" priority="7680" operator="between">
      <formula>"SAFRA"</formula>
      <formula>"SAFRA"</formula>
    </cfRule>
    <cfRule type="cellIs" dxfId="4164" priority="7679" operator="between">
      <formula>"SAFRA"</formula>
      <formula>"SAFRA"</formula>
    </cfRule>
    <cfRule type="cellIs" dxfId="4163" priority="7678" operator="equal">
      <formula>"ITAÚ MATRIZ"</formula>
    </cfRule>
    <cfRule type="cellIs" dxfId="4162" priority="7655" operator="equal">
      <formula>"ITAÚ"</formula>
    </cfRule>
    <cfRule type="cellIs" dxfId="4161" priority="7654" operator="between">
      <formula>"ITAÚ MATRIZ"</formula>
      <formula>"ITAÚ MATRIZ"</formula>
    </cfRule>
    <cfRule type="cellIs" dxfId="4160" priority="7653" operator="equal">
      <formula>"ITAÚ MATRIZ"</formula>
    </cfRule>
    <cfRule type="cellIs" dxfId="4159" priority="7652" operator="equal">
      <formula>"ITAÚ"</formula>
    </cfRule>
    <cfRule type="cellIs" dxfId="4158" priority="7651" operator="between">
      <formula>"ITAÚ FILIAL"</formula>
      <formula>"ITAÚ FILIAL"</formula>
    </cfRule>
    <cfRule type="cellIs" dxfId="4157" priority="7650" operator="between">
      <formula>"ITAÚ FILIAL"</formula>
      <formula>"ITAÚ FILIAL"</formula>
    </cfRule>
    <cfRule type="cellIs" dxfId="4156" priority="7649" operator="between">
      <formula>"DAYCOVAL"</formula>
      <formula>"DAYCOVAL"</formula>
    </cfRule>
    <cfRule type="cellIs" dxfId="4155" priority="7648" operator="between">
      <formula>"SAFRA"</formula>
      <formula>"SAFRA"</formula>
    </cfRule>
    <cfRule type="cellIs" dxfId="4154" priority="7647" operator="between">
      <formula>"SAFRA"</formula>
      <formula>"SAFRA"</formula>
    </cfRule>
    <cfRule type="cellIs" dxfId="4153" priority="7646" operator="equal">
      <formula>"ITAÚ"</formula>
    </cfRule>
    <cfRule type="cellIs" dxfId="4152" priority="7645" operator="between">
      <formula>"ITAÚ MATRIZ"</formula>
      <formula>"ITAÚ MATRIZ"</formula>
    </cfRule>
    <cfRule type="cellIs" dxfId="4151" priority="7644" operator="equal">
      <formula>"ITAÚ MATRIZ"</formula>
    </cfRule>
    <cfRule type="cellIs" dxfId="4150" priority="7643" operator="equal">
      <formula>"ITAÚ"</formula>
    </cfRule>
    <cfRule type="cellIs" dxfId="4149" priority="7642" operator="between">
      <formula>"ITAÚ FILIAL"</formula>
      <formula>"ITAÚ FILIAL"</formula>
    </cfRule>
    <cfRule type="cellIs" dxfId="4148" priority="7641" operator="between">
      <formula>"ITAÚ FILIAL"</formula>
      <formula>"ITAÚ FILIAL"</formula>
    </cfRule>
    <cfRule type="cellIs" dxfId="4147" priority="7640" operator="between">
      <formula>"DAYCOVAL"</formula>
      <formula>"DAYCOVAL"</formula>
    </cfRule>
    <cfRule type="cellIs" dxfId="4146" priority="7639" operator="between">
      <formula>"SAFRA"</formula>
      <formula>"SAFRA"</formula>
    </cfRule>
    <cfRule type="cellIs" dxfId="4145" priority="7638" operator="between">
      <formula>"SAFRA"</formula>
      <formula>"SAFRA"</formula>
    </cfRule>
    <cfRule type="cellIs" dxfId="4144" priority="7637" operator="equal">
      <formula>"ITAÚ"</formula>
    </cfRule>
    <cfRule type="cellIs" dxfId="4143" priority="7636" operator="equal">
      <formula>"ITAÚ"</formula>
    </cfRule>
    <cfRule type="cellIs" dxfId="4142" priority="7635" operator="between">
      <formula>"ITAÚ MATRIZ"</formula>
      <formula>"ITAÚ MATRIZ"</formula>
    </cfRule>
    <cfRule type="cellIs" dxfId="4141" priority="7634" operator="between">
      <formula>"ITAÚ FILIAL"</formula>
      <formula>"ITAÚ FILIAL"</formula>
    </cfRule>
    <cfRule type="cellIs" dxfId="4140" priority="7633" operator="between">
      <formula>"ITAÚ FILIAL"</formula>
      <formula>"ITAÚ FILIAL"</formula>
    </cfRule>
    <cfRule type="cellIs" dxfId="4139" priority="7632" operator="between">
      <formula>"DAYCOVAL"</formula>
      <formula>"DAYCOVAL"</formula>
    </cfRule>
    <cfRule type="cellIs" dxfId="4138" priority="7631" operator="between">
      <formula>"SAFRA"</formula>
      <formula>"SAFRA"</formula>
    </cfRule>
    <cfRule type="cellIs" dxfId="4137" priority="7630" operator="between">
      <formula>"SAFRA"</formula>
      <formula>"SAFRA"</formula>
    </cfRule>
    <cfRule type="cellIs" dxfId="4136" priority="7629" operator="equal">
      <formula>"ITAÚ MATRIZ"</formula>
    </cfRule>
    <cfRule type="cellIs" dxfId="4135" priority="7628" operator="equal">
      <formula>"ITAÚ"</formula>
    </cfRule>
    <cfRule type="cellIs" dxfId="4134" priority="7627" operator="between">
      <formula>"ITAÚ MATRIZ"</formula>
      <formula>"ITAÚ MATRIZ"</formula>
    </cfRule>
    <cfRule type="cellIs" dxfId="4133" priority="7626" operator="equal">
      <formula>"ITAÚ MATRIZ"</formula>
    </cfRule>
    <cfRule type="cellIs" dxfId="4132" priority="7625" operator="equal">
      <formula>"ITAÚ"</formula>
    </cfRule>
    <cfRule type="cellIs" dxfId="4131" priority="7624" operator="between">
      <formula>"ITAÚ FILIAL"</formula>
      <formula>"ITAÚ FILIAL"</formula>
    </cfRule>
    <cfRule type="cellIs" dxfId="4130" priority="7623" operator="between">
      <formula>"ITAÚ FILIAL"</formula>
      <formula>"ITAÚ FILIAL"</formula>
    </cfRule>
    <cfRule type="cellIs" dxfId="4129" priority="7622" operator="between">
      <formula>"DAYCOVAL"</formula>
      <formula>"DAYCOVAL"</formula>
    </cfRule>
    <cfRule type="cellIs" dxfId="4128" priority="7621" operator="between">
      <formula>"SAFRA"</formula>
      <formula>"SAFRA"</formula>
    </cfRule>
    <cfRule type="cellIs" dxfId="4127" priority="7620" operator="between">
      <formula>"SAFRA"</formula>
      <formula>"SAFRA"</formula>
    </cfRule>
    <cfRule type="cellIs" dxfId="4126" priority="7525" operator="between">
      <formula>"ITAÚ FILIAL"</formula>
      <formula>"ITAÚ FILIAL"</formula>
    </cfRule>
    <cfRule type="cellIs" dxfId="4125" priority="7619" operator="equal">
      <formula>"ITAÚ"</formula>
    </cfRule>
    <cfRule type="cellIs" dxfId="4124" priority="7528" operator="equal">
      <formula>"ITAÚ"</formula>
    </cfRule>
    <cfRule type="cellIs" dxfId="4123" priority="7618" operator="equal">
      <formula>"ITAÚ"</formula>
    </cfRule>
    <cfRule type="cellIs" dxfId="4122" priority="7617" operator="between">
      <formula>"ITAÚ MATRIZ"</formula>
      <formula>"ITAÚ MATRIZ"</formula>
    </cfRule>
    <cfRule type="cellIs" dxfId="4121" priority="7616" operator="between">
      <formula>"ITAÚ FILIAL"</formula>
      <formula>"ITAÚ FILIAL"</formula>
    </cfRule>
    <cfRule type="cellIs" dxfId="4120" priority="7615" operator="between">
      <formula>"ITAÚ FILIAL"</formula>
      <formula>"ITAÚ FILIAL"</formula>
    </cfRule>
    <cfRule type="cellIs" dxfId="4119" priority="7614" operator="between">
      <formula>"DAYCOVAL"</formula>
      <formula>"DAYCOVAL"</formula>
    </cfRule>
    <cfRule type="cellIs" dxfId="4118" priority="7613" operator="between">
      <formula>"SAFRA"</formula>
      <formula>"SAFRA"</formula>
    </cfRule>
    <cfRule type="cellIs" dxfId="4117" priority="7612" operator="between">
      <formula>"SAFRA"</formula>
      <formula>"SAFRA"</formula>
    </cfRule>
    <cfRule type="cellIs" dxfId="4116" priority="7611" operator="equal">
      <formula>"ITAÚ MATRIZ"</formula>
    </cfRule>
    <cfRule type="cellIs" dxfId="4115" priority="7610" operator="equal">
      <formula>"ITAÚ"</formula>
    </cfRule>
    <cfRule type="cellIs" dxfId="4114" priority="7609" operator="between">
      <formula>"ITAÚ MATRIZ"</formula>
      <formula>"ITAÚ MATRIZ"</formula>
    </cfRule>
    <cfRule type="cellIs" dxfId="4113" priority="7608" operator="equal">
      <formula>"ITAÚ MATRIZ"</formula>
    </cfRule>
    <cfRule type="cellIs" dxfId="4112" priority="7607" operator="equal">
      <formula>"ITAÚ"</formula>
    </cfRule>
    <cfRule type="cellIs" dxfId="4111" priority="7606" operator="between">
      <formula>"ITAÚ FILIAL"</formula>
      <formula>"ITAÚ FILIAL"</formula>
    </cfRule>
    <cfRule type="cellIs" dxfId="4110" priority="7605" operator="between">
      <formula>"ITAÚ FILIAL"</formula>
      <formula>"ITAÚ FILIAL"</formula>
    </cfRule>
    <cfRule type="cellIs" dxfId="4109" priority="7604" operator="between">
      <formula>"DAYCOVAL"</formula>
      <formula>"DAYCOVAL"</formula>
    </cfRule>
    <cfRule type="cellIs" dxfId="4108" priority="7603" operator="between">
      <formula>"SAFRA"</formula>
      <formula>"SAFRA"</formula>
    </cfRule>
    <cfRule type="cellIs" dxfId="4107" priority="7602" operator="between">
      <formula>"SAFRA"</formula>
      <formula>"SAFRA"</formula>
    </cfRule>
    <cfRule type="cellIs" dxfId="4106" priority="7601" operator="equal">
      <formula>"ITAÚ"</formula>
    </cfRule>
    <cfRule type="cellIs" dxfId="4105" priority="7600" operator="equal">
      <formula>"ITAÚ"</formula>
    </cfRule>
    <cfRule type="cellIs" dxfId="4104" priority="7599" operator="between">
      <formula>"ITAÚ MATRIZ"</formula>
      <formula>"ITAÚ MATRIZ"</formula>
    </cfRule>
    <cfRule type="cellIs" dxfId="4103" priority="7598" operator="between">
      <formula>"ITAÚ FILIAL"</formula>
      <formula>"ITAÚ FILIAL"</formula>
    </cfRule>
    <cfRule type="cellIs" dxfId="4102" priority="7597" operator="between">
      <formula>"ITAÚ FILIAL"</formula>
      <formula>"ITAÚ FILIAL"</formula>
    </cfRule>
    <cfRule type="cellIs" dxfId="4101" priority="7596" operator="between">
      <formula>"DAYCOVAL"</formula>
      <formula>"DAYCOVAL"</formula>
    </cfRule>
    <cfRule type="cellIs" dxfId="4100" priority="7595" operator="between">
      <formula>"SAFRA"</formula>
      <formula>"SAFRA"</formula>
    </cfRule>
    <cfRule type="cellIs" dxfId="4099" priority="7594" operator="between">
      <formula>"SAFRA"</formula>
      <formula>"SAFRA"</formula>
    </cfRule>
    <cfRule type="cellIs" dxfId="4098" priority="7593" operator="equal">
      <formula>"ITAÚ MATRIZ"</formula>
    </cfRule>
    <cfRule type="cellIs" dxfId="4097" priority="7592" operator="equal">
      <formula>"ITAÚ"</formula>
    </cfRule>
    <cfRule type="cellIs" dxfId="4096" priority="7591" operator="equal">
      <formula>"ITAÚ"</formula>
    </cfRule>
    <cfRule type="cellIs" dxfId="4095" priority="7590" operator="between">
      <formula>"ITAÚ MATRIZ"</formula>
      <formula>"ITAÚ MATRIZ"</formula>
    </cfRule>
    <cfRule type="cellIs" dxfId="4094" priority="7589" operator="between">
      <formula>"ITAÚ FILIAL"</formula>
      <formula>"ITAÚ FILIAL"</formula>
    </cfRule>
    <cfRule type="cellIs" dxfId="4093" priority="7588" operator="between">
      <formula>"ITAÚ FILIAL"</formula>
      <formula>"ITAÚ FILIAL"</formula>
    </cfRule>
    <cfRule type="cellIs" dxfId="4092" priority="7587" operator="between">
      <formula>"DAYCOVAL"</formula>
      <formula>"DAYCOVAL"</formula>
    </cfRule>
    <cfRule type="cellIs" dxfId="4091" priority="7586" operator="between">
      <formula>"SAFRA"</formula>
      <formula>"SAFRA"</formula>
    </cfRule>
    <cfRule type="cellIs" dxfId="4090" priority="7529" operator="equal">
      <formula>"ITAÚ"</formula>
    </cfRule>
    <cfRule type="cellIs" dxfId="4089" priority="7530" operator="between">
      <formula>"SAFRA"</formula>
      <formula>"SAFRA"</formula>
    </cfRule>
    <cfRule type="cellIs" dxfId="4088" priority="7531" operator="between">
      <formula>"SAFRA"</formula>
      <formula>"SAFRA"</formula>
    </cfRule>
    <cfRule type="cellIs" dxfId="4087" priority="7585" operator="between">
      <formula>"SAFRA"</formula>
      <formula>"SAFRA"</formula>
    </cfRule>
    <cfRule type="cellIs" dxfId="4086" priority="7584" operator="equal">
      <formula>"ITAÚ MATRIZ"</formula>
    </cfRule>
    <cfRule type="cellIs" dxfId="4085" priority="7583" operator="equal">
      <formula>"ITAÚ"</formula>
    </cfRule>
    <cfRule type="cellIs" dxfId="4084" priority="7582" operator="equal">
      <formula>"ITAÚ"</formula>
    </cfRule>
    <cfRule type="cellIs" dxfId="4083" priority="7581" operator="between">
      <formula>"ITAÚ MATRIZ"</formula>
      <formula>"ITAÚ MATRIZ"</formula>
    </cfRule>
    <cfRule type="cellIs" dxfId="4082" priority="7580" operator="between">
      <formula>"ITAÚ FILIAL"</formula>
      <formula>"ITAÚ FILIAL"</formula>
    </cfRule>
    <cfRule type="cellIs" dxfId="4081" priority="7579" operator="between">
      <formula>"ITAÚ FILIAL"</formula>
      <formula>"ITAÚ FILIAL"</formula>
    </cfRule>
    <cfRule type="cellIs" dxfId="4080" priority="7578" operator="between">
      <formula>"DAYCOVAL"</formula>
      <formula>"DAYCOVAL"</formula>
    </cfRule>
    <cfRule type="cellIs" dxfId="4079" priority="7577" operator="between">
      <formula>"SAFRA"</formula>
      <formula>"SAFRA"</formula>
    </cfRule>
    <cfRule type="cellIs" dxfId="4078" priority="7576" operator="between">
      <formula>"SAFRA"</formula>
      <formula>"SAFRA"</formula>
    </cfRule>
    <cfRule type="cellIs" dxfId="4077" priority="7575" operator="equal">
      <formula>"ITAÚ MATRIZ"</formula>
    </cfRule>
    <cfRule type="cellIs" dxfId="4076" priority="7574" operator="equal">
      <formula>"ITAÚ"</formula>
    </cfRule>
    <cfRule type="cellIs" dxfId="4075" priority="7573" operator="equal">
      <formula>"ITAÚ"</formula>
    </cfRule>
    <cfRule type="cellIs" dxfId="4074" priority="7572" operator="between">
      <formula>"ITAÚ MATRIZ"</formula>
      <formula>"ITAÚ MATRIZ"</formula>
    </cfRule>
    <cfRule type="cellIs" dxfId="4073" priority="7571" operator="between">
      <formula>"ITAÚ FILIAL"</formula>
      <formula>"ITAÚ FILIAL"</formula>
    </cfRule>
    <cfRule type="cellIs" dxfId="4072" priority="7570" operator="between">
      <formula>"ITAÚ FILIAL"</formula>
      <formula>"ITAÚ FILIAL"</formula>
    </cfRule>
    <cfRule type="cellIs" dxfId="4071" priority="7569" operator="between">
      <formula>"DAYCOVAL"</formula>
      <formula>"DAYCOVAL"</formula>
    </cfRule>
    <cfRule type="cellIs" dxfId="4070" priority="7568" operator="between">
      <formula>"SAFRA"</formula>
      <formula>"SAFRA"</formula>
    </cfRule>
    <cfRule type="cellIs" dxfId="4069" priority="7567" operator="between">
      <formula>"SAFRA"</formula>
      <formula>"SAFRA"</formula>
    </cfRule>
    <cfRule type="cellIs" dxfId="4068" priority="7566" operator="equal">
      <formula>"ITAÚ MATRIZ"</formula>
    </cfRule>
    <cfRule type="cellIs" dxfId="4067" priority="7565" operator="equal">
      <formula>"ITAÚ"</formula>
    </cfRule>
    <cfRule type="cellIs" dxfId="4066" priority="7564" operator="equal">
      <formula>"ITAÚ"</formula>
    </cfRule>
    <cfRule type="cellIs" dxfId="4065" priority="7563" operator="between">
      <formula>"ITAÚ MATRIZ"</formula>
      <formula>"ITAÚ MATRIZ"</formula>
    </cfRule>
    <cfRule type="cellIs" dxfId="4064" priority="7562" operator="between">
      <formula>"ITAÚ FILIAL"</formula>
      <formula>"ITAÚ FILIAL"</formula>
    </cfRule>
    <cfRule type="cellIs" dxfId="4063" priority="7561" operator="between">
      <formula>"ITAÚ FILIAL"</formula>
      <formula>"ITAÚ FILIAL"</formula>
    </cfRule>
    <cfRule type="cellIs" dxfId="4062" priority="7560" operator="between">
      <formula>"DAYCOVAL"</formula>
      <formula>"DAYCOVAL"</formula>
    </cfRule>
    <cfRule type="cellIs" dxfId="4061" priority="7559" operator="between">
      <formula>"SAFRA"</formula>
      <formula>"SAFRA"</formula>
    </cfRule>
    <cfRule type="cellIs" dxfId="4060" priority="7558" operator="between">
      <formula>"SAFRA"</formula>
      <formula>"SAFRA"</formula>
    </cfRule>
    <cfRule type="cellIs" dxfId="4059" priority="7557" operator="equal">
      <formula>"ITAÚ MATRIZ"</formula>
    </cfRule>
    <cfRule type="cellIs" dxfId="4058" priority="7556" operator="equal">
      <formula>"ITAÚ"</formula>
    </cfRule>
    <cfRule type="cellIs" dxfId="4057" priority="7555" operator="between">
      <formula>"ITAÚ MATRIZ"</formula>
      <formula>"ITAÚ MATRIZ"</formula>
    </cfRule>
    <cfRule type="cellIs" dxfId="4056" priority="7554" operator="equal">
      <formula>"ITAÚ MATRIZ"</formula>
    </cfRule>
    <cfRule type="cellIs" dxfId="4055" priority="7553" operator="equal">
      <formula>"ITAÚ"</formula>
    </cfRule>
    <cfRule type="cellIs" dxfId="4054" priority="7552" operator="between">
      <formula>"ITAÚ FILIAL"</formula>
      <formula>"ITAÚ FILIAL"</formula>
    </cfRule>
    <cfRule type="cellIs" dxfId="4053" priority="7551" operator="between">
      <formula>"ITAÚ FILIAL"</formula>
      <formula>"ITAÚ FILIAL"</formula>
    </cfRule>
    <cfRule type="cellIs" dxfId="4052" priority="7550" operator="between">
      <formula>"DAYCOVAL"</formula>
      <formula>"DAYCOVAL"</formula>
    </cfRule>
    <cfRule type="cellIs" dxfId="4051" priority="7549" operator="between">
      <formula>"SAFRA"</formula>
      <formula>"SAFRA"</formula>
    </cfRule>
    <cfRule type="cellIs" dxfId="4050" priority="7548" operator="between">
      <formula>"SAFRA"</formula>
      <formula>"SAFRA"</formula>
    </cfRule>
    <cfRule type="cellIs" dxfId="4049" priority="7547" operator="equal">
      <formula>"ITAÚ"</formula>
    </cfRule>
    <cfRule type="cellIs" dxfId="4048" priority="7546" operator="equal">
      <formula>"ITAÚ"</formula>
    </cfRule>
    <cfRule type="cellIs" dxfId="4047" priority="7545" operator="between">
      <formula>"ITAÚ MATRIZ"</formula>
      <formula>"ITAÚ MATRIZ"</formula>
    </cfRule>
    <cfRule type="cellIs" dxfId="4046" priority="7544" operator="between">
      <formula>"ITAÚ FILIAL"</formula>
      <formula>"ITAÚ FILIAL"</formula>
    </cfRule>
    <cfRule type="cellIs" dxfId="4045" priority="7543" operator="between">
      <formula>"ITAÚ FILIAL"</formula>
      <formula>"ITAÚ FILIAL"</formula>
    </cfRule>
    <cfRule type="cellIs" dxfId="4044" priority="7542" operator="between">
      <formula>"DAYCOVAL"</formula>
      <formula>"DAYCOVAL"</formula>
    </cfRule>
    <cfRule type="cellIs" dxfId="4043" priority="7541" operator="between">
      <formula>"SAFRA"</formula>
      <formula>"SAFRA"</formula>
    </cfRule>
    <cfRule type="cellIs" dxfId="4042" priority="7540" operator="between">
      <formula>"SAFRA"</formula>
      <formula>"SAFRA"</formula>
    </cfRule>
    <cfRule type="cellIs" dxfId="4041" priority="7539" operator="equal">
      <formula>"ITAÚ MATRIZ"</formula>
    </cfRule>
    <cfRule type="cellIs" dxfId="4040" priority="7538" operator="equal">
      <formula>"ITAÚ"</formula>
    </cfRule>
    <cfRule type="cellIs" dxfId="4039" priority="7537" operator="between">
      <formula>"ITAÚ MATRIZ"</formula>
      <formula>"ITAÚ MATRIZ"</formula>
    </cfRule>
    <cfRule type="cellIs" dxfId="4038" priority="7536" operator="equal">
      <formula>"ITAÚ MATRIZ"</formula>
    </cfRule>
    <cfRule type="cellIs" dxfId="4037" priority="7535" operator="equal">
      <formula>"ITAÚ"</formula>
    </cfRule>
    <cfRule type="cellIs" dxfId="4036" priority="7534" operator="between">
      <formula>"ITAÚ FILIAL"</formula>
      <formula>"ITAÚ FILIAL"</formula>
    </cfRule>
    <cfRule type="cellIs" dxfId="4035" priority="7742" operator="between">
      <formula>"SAFRA"</formula>
      <formula>"SAFRA"</formula>
    </cfRule>
  </conditionalFormatting>
  <conditionalFormatting sqref="I189">
    <cfRule type="cellIs" dxfId="4034" priority="7128" operator="between">
      <formula>"SAFRA"</formula>
      <formula>"SAFRA"</formula>
    </cfRule>
    <cfRule type="cellIs" dxfId="4033" priority="7039" operator="between">
      <formula>"DAYCOVAL"</formula>
      <formula>"DAYCOVAL"</formula>
    </cfRule>
    <cfRule type="cellIs" dxfId="4032" priority="7132" operator="between">
      <formula>"ITAÚ MATRIZ"</formula>
      <formula>"ITAÚ MATRIZ"</formula>
    </cfRule>
    <cfRule type="cellIs" dxfId="4031" priority="7130" operator="between">
      <formula>"ITAÚ FILIAL"</formula>
      <formula>"ITAÚ FILIAL"</formula>
    </cfRule>
    <cfRule type="cellIs" dxfId="4030" priority="7036" operator="equal">
      <formula>"ITAÚ MATRIZ"</formula>
    </cfRule>
    <cfRule type="cellIs" dxfId="4029" priority="7037" operator="between">
      <formula>"SAFRA"</formula>
      <formula>"SAFRA"</formula>
    </cfRule>
    <cfRule type="cellIs" dxfId="4028" priority="7224" operator="equal">
      <formula>"ITAÚ"</formula>
    </cfRule>
    <cfRule type="cellIs" dxfId="4027" priority="7223" operator="between">
      <formula>"ITAÚ MATRIZ"</formula>
      <formula>"ITAÚ MATRIZ"</formula>
    </cfRule>
    <cfRule type="cellIs" dxfId="4026" priority="7222" operator="equal">
      <formula>"ITAÚ MATRIZ"</formula>
    </cfRule>
    <cfRule type="cellIs" dxfId="4025" priority="7221" operator="equal">
      <formula>"ITAÚ"</formula>
    </cfRule>
    <cfRule type="cellIs" dxfId="4024" priority="7220" operator="between">
      <formula>"ITAÚ FILIAL"</formula>
      <formula>"ITAÚ FILIAL"</formula>
    </cfRule>
    <cfRule type="cellIs" dxfId="4023" priority="7219" operator="between">
      <formula>"ITAÚ FILIAL"</formula>
      <formula>"ITAÚ FILIAL"</formula>
    </cfRule>
    <cfRule type="cellIs" dxfId="4022" priority="7218" operator="between">
      <formula>"DAYCOVAL"</formula>
      <formula>"DAYCOVAL"</formula>
    </cfRule>
    <cfRule type="cellIs" dxfId="4021" priority="7217" operator="between">
      <formula>"SAFRA"</formula>
      <formula>"SAFRA"</formula>
    </cfRule>
    <cfRule type="cellIs" dxfId="4020" priority="7216" operator="between">
      <formula>"SAFRA"</formula>
      <formula>"SAFRA"</formula>
    </cfRule>
    <cfRule type="cellIs" dxfId="4019" priority="7215" operator="equal">
      <formula>"ITAÚ"</formula>
    </cfRule>
    <cfRule type="cellIs" dxfId="4018" priority="7214" operator="between">
      <formula>"ITAÚ MATRIZ"</formula>
      <formula>"ITAÚ MATRIZ"</formula>
    </cfRule>
    <cfRule type="cellIs" dxfId="4017" priority="7213" operator="equal">
      <formula>"ITAÚ MATRIZ"</formula>
    </cfRule>
    <cfRule type="cellIs" dxfId="4016" priority="7212" operator="equal">
      <formula>"ITAÚ"</formula>
    </cfRule>
    <cfRule type="cellIs" dxfId="4015" priority="7211" operator="between">
      <formula>"ITAÚ FILIAL"</formula>
      <formula>"ITAÚ FILIAL"</formula>
    </cfRule>
    <cfRule type="cellIs" dxfId="4014" priority="7210" operator="between">
      <formula>"ITAÚ FILIAL"</formula>
      <formula>"ITAÚ FILIAL"</formula>
    </cfRule>
    <cfRule type="cellIs" dxfId="4013" priority="7209" operator="between">
      <formula>"DAYCOVAL"</formula>
      <formula>"DAYCOVAL"</formula>
    </cfRule>
    <cfRule type="cellIs" dxfId="4012" priority="7208" operator="between">
      <formula>"SAFRA"</formula>
      <formula>"SAFRA"</formula>
    </cfRule>
    <cfRule type="cellIs" dxfId="4011" priority="7207" operator="between">
      <formula>"SAFRA"</formula>
      <formula>"SAFRA"</formula>
    </cfRule>
    <cfRule type="cellIs" dxfId="4010" priority="7206" operator="equal">
      <formula>"ITAÚ"</formula>
    </cfRule>
    <cfRule type="cellIs" dxfId="4009" priority="7205" operator="equal">
      <formula>"ITAÚ"</formula>
    </cfRule>
    <cfRule type="cellIs" dxfId="4008" priority="7204" operator="between">
      <formula>"ITAÚ MATRIZ"</formula>
      <formula>"ITAÚ MATRIZ"</formula>
    </cfRule>
    <cfRule type="cellIs" dxfId="4007" priority="7203" operator="between">
      <formula>"ITAÚ FILIAL"</formula>
      <formula>"ITAÚ FILIAL"</formula>
    </cfRule>
    <cfRule type="cellIs" dxfId="4006" priority="7202" operator="between">
      <formula>"ITAÚ FILIAL"</formula>
      <formula>"ITAÚ FILIAL"</formula>
    </cfRule>
    <cfRule type="cellIs" dxfId="4005" priority="7201" operator="between">
      <formula>"DAYCOVAL"</formula>
      <formula>"DAYCOVAL"</formula>
    </cfRule>
    <cfRule type="cellIs" dxfId="4004" priority="7200" operator="between">
      <formula>"SAFRA"</formula>
      <formula>"SAFRA"</formula>
    </cfRule>
    <cfRule type="cellIs" dxfId="4003" priority="7199" operator="between">
      <formula>"SAFRA"</formula>
      <formula>"SAFRA"</formula>
    </cfRule>
    <cfRule type="cellIs" dxfId="4002" priority="7198" operator="equal">
      <formula>"ITAÚ MATRIZ"</formula>
    </cfRule>
    <cfRule type="cellIs" dxfId="4001" priority="7197" operator="equal">
      <formula>"ITAÚ"</formula>
    </cfRule>
    <cfRule type="cellIs" dxfId="4000" priority="7196" operator="between">
      <formula>"ITAÚ MATRIZ"</formula>
      <formula>"ITAÚ MATRIZ"</formula>
    </cfRule>
    <cfRule type="cellIs" dxfId="3999" priority="7195" operator="equal">
      <formula>"ITAÚ MATRIZ"</formula>
    </cfRule>
    <cfRule type="cellIs" dxfId="3998" priority="7194" operator="equal">
      <formula>"ITAÚ"</formula>
    </cfRule>
    <cfRule type="cellIs" dxfId="3997" priority="7193" operator="between">
      <formula>"ITAÚ FILIAL"</formula>
      <formula>"ITAÚ FILIAL"</formula>
    </cfRule>
    <cfRule type="cellIs" dxfId="3996" priority="7192" operator="between">
      <formula>"ITAÚ FILIAL"</formula>
      <formula>"ITAÚ FILIAL"</formula>
    </cfRule>
    <cfRule type="cellIs" dxfId="3995" priority="7191" operator="between">
      <formula>"DAYCOVAL"</formula>
      <formula>"DAYCOVAL"</formula>
    </cfRule>
    <cfRule type="cellIs" dxfId="3994" priority="7190" operator="between">
      <formula>"SAFRA"</formula>
      <formula>"SAFRA"</formula>
    </cfRule>
    <cfRule type="cellIs" dxfId="3993" priority="7189" operator="between">
      <formula>"SAFRA"</formula>
      <formula>"SAFRA"</formula>
    </cfRule>
    <cfRule type="cellIs" dxfId="3992" priority="7188" operator="equal">
      <formula>"ITAÚ"</formula>
    </cfRule>
    <cfRule type="cellIs" dxfId="3991" priority="7187" operator="equal">
      <formula>"ITAÚ"</formula>
    </cfRule>
    <cfRule type="cellIs" dxfId="3990" priority="7186" operator="between">
      <formula>"ITAÚ MATRIZ"</formula>
      <formula>"ITAÚ MATRIZ"</formula>
    </cfRule>
    <cfRule type="cellIs" dxfId="3989" priority="7185" operator="between">
      <formula>"ITAÚ FILIAL"</formula>
      <formula>"ITAÚ FILIAL"</formula>
    </cfRule>
    <cfRule type="cellIs" dxfId="3988" priority="7184" operator="between">
      <formula>"ITAÚ FILIAL"</formula>
      <formula>"ITAÚ FILIAL"</formula>
    </cfRule>
    <cfRule type="cellIs" dxfId="3987" priority="7183" operator="between">
      <formula>"DAYCOVAL"</formula>
      <formula>"DAYCOVAL"</formula>
    </cfRule>
    <cfRule type="cellIs" dxfId="3986" priority="7182" operator="between">
      <formula>"SAFRA"</formula>
      <formula>"SAFRA"</formula>
    </cfRule>
    <cfRule type="cellIs" dxfId="3985" priority="7181" operator="between">
      <formula>"SAFRA"</formula>
      <formula>"SAFRA"</formula>
    </cfRule>
    <cfRule type="cellIs" dxfId="3984" priority="7180" operator="equal">
      <formula>"ITAÚ MATRIZ"</formula>
    </cfRule>
    <cfRule type="cellIs" dxfId="3983" priority="7179" operator="equal">
      <formula>"ITAÚ"</formula>
    </cfRule>
    <cfRule type="cellIs" dxfId="3982" priority="7178" operator="between">
      <formula>"ITAÚ MATRIZ"</formula>
      <formula>"ITAÚ MATRIZ"</formula>
    </cfRule>
    <cfRule type="cellIs" dxfId="3981" priority="7177" operator="equal">
      <formula>"ITAÚ MATRIZ"</formula>
    </cfRule>
    <cfRule type="cellIs" dxfId="3980" priority="7176" operator="equal">
      <formula>"ITAÚ"</formula>
    </cfRule>
    <cfRule type="cellIs" dxfId="3979" priority="7175" operator="between">
      <formula>"ITAÚ FILIAL"</formula>
      <formula>"ITAÚ FILIAL"</formula>
    </cfRule>
    <cfRule type="cellIs" dxfId="3978" priority="7174" operator="between">
      <formula>"ITAÚ FILIAL"</formula>
      <formula>"ITAÚ FILIAL"</formula>
    </cfRule>
    <cfRule type="cellIs" dxfId="3977" priority="7173" operator="between">
      <formula>"DAYCOVAL"</formula>
      <formula>"DAYCOVAL"</formula>
    </cfRule>
    <cfRule type="cellIs" dxfId="3976" priority="7172" operator="between">
      <formula>"SAFRA"</formula>
      <formula>"SAFRA"</formula>
    </cfRule>
    <cfRule type="cellIs" dxfId="3975" priority="7171" operator="between">
      <formula>"SAFRA"</formula>
      <formula>"SAFRA"</formula>
    </cfRule>
    <cfRule type="cellIs" dxfId="3974" priority="7170" operator="equal">
      <formula>"ITAÚ"</formula>
    </cfRule>
    <cfRule type="cellIs" dxfId="3973" priority="7169" operator="equal">
      <formula>"ITAÚ"</formula>
    </cfRule>
    <cfRule type="cellIs" dxfId="3972" priority="7168" operator="between">
      <formula>"ITAÚ MATRIZ"</formula>
      <formula>"ITAÚ MATRIZ"</formula>
    </cfRule>
    <cfRule type="cellIs" dxfId="3971" priority="7167" operator="between">
      <formula>"ITAÚ FILIAL"</formula>
      <formula>"ITAÚ FILIAL"</formula>
    </cfRule>
    <cfRule type="cellIs" dxfId="3970" priority="7166" operator="between">
      <formula>"ITAÚ FILIAL"</formula>
      <formula>"ITAÚ FILIAL"</formula>
    </cfRule>
    <cfRule type="cellIs" dxfId="3969" priority="7165" operator="between">
      <formula>"DAYCOVAL"</formula>
      <formula>"DAYCOVAL"</formula>
    </cfRule>
    <cfRule type="cellIs" dxfId="3968" priority="7164" operator="between">
      <formula>"SAFRA"</formula>
      <formula>"SAFRA"</formula>
    </cfRule>
    <cfRule type="cellIs" dxfId="3967" priority="7163" operator="between">
      <formula>"SAFRA"</formula>
      <formula>"SAFRA"</formula>
    </cfRule>
    <cfRule type="cellIs" dxfId="3966" priority="7162" operator="equal">
      <formula>"ITAÚ MATRIZ"</formula>
    </cfRule>
    <cfRule type="cellIs" dxfId="3965" priority="7161" operator="equal">
      <formula>"ITAÚ"</formula>
    </cfRule>
    <cfRule type="cellIs" dxfId="3964" priority="7160" operator="equal">
      <formula>"ITAÚ"</formula>
    </cfRule>
    <cfRule type="cellIs" dxfId="3963" priority="7159" operator="between">
      <formula>"ITAÚ MATRIZ"</formula>
      <formula>"ITAÚ MATRIZ"</formula>
    </cfRule>
    <cfRule type="cellIs" dxfId="3962" priority="7158" operator="between">
      <formula>"ITAÚ FILIAL"</formula>
      <formula>"ITAÚ FILIAL"</formula>
    </cfRule>
    <cfRule type="cellIs" dxfId="3961" priority="7157" operator="between">
      <formula>"ITAÚ FILIAL"</formula>
      <formula>"ITAÚ FILIAL"</formula>
    </cfRule>
    <cfRule type="cellIs" dxfId="3960" priority="7156" operator="between">
      <formula>"DAYCOVAL"</formula>
      <formula>"DAYCOVAL"</formula>
    </cfRule>
    <cfRule type="cellIs" dxfId="3959" priority="7155" operator="between">
      <formula>"SAFRA"</formula>
      <formula>"SAFRA"</formula>
    </cfRule>
    <cfRule type="cellIs" dxfId="3958" priority="7154" operator="between">
      <formula>"SAFRA"</formula>
      <formula>"SAFRA"</formula>
    </cfRule>
    <cfRule type="cellIs" dxfId="3957" priority="7153" operator="equal">
      <formula>"ITAÚ MATRIZ"</formula>
    </cfRule>
    <cfRule type="cellIs" dxfId="3956" priority="7152" operator="equal">
      <formula>"ITAÚ"</formula>
    </cfRule>
    <cfRule type="cellIs" dxfId="3955" priority="7151" operator="equal">
      <formula>"ITAÚ"</formula>
    </cfRule>
    <cfRule type="cellIs" dxfId="3954" priority="7150" operator="between">
      <formula>"ITAÚ MATRIZ"</formula>
      <formula>"ITAÚ MATRIZ"</formula>
    </cfRule>
    <cfRule type="cellIs" dxfId="3953" priority="7149" operator="between">
      <formula>"ITAÚ FILIAL"</formula>
      <formula>"ITAÚ FILIAL"</formula>
    </cfRule>
    <cfRule type="cellIs" dxfId="3952" priority="7148" operator="between">
      <formula>"ITAÚ FILIAL"</formula>
      <formula>"ITAÚ FILIAL"</formula>
    </cfRule>
    <cfRule type="cellIs" dxfId="3951" priority="7147" operator="between">
      <formula>"DAYCOVAL"</formula>
      <formula>"DAYCOVAL"</formula>
    </cfRule>
    <cfRule type="cellIs" dxfId="3950" priority="7146" operator="between">
      <formula>"SAFRA"</formula>
      <formula>"SAFRA"</formula>
    </cfRule>
    <cfRule type="cellIs" dxfId="3949" priority="7145" operator="between">
      <formula>"SAFRA"</formula>
      <formula>"SAFRA"</formula>
    </cfRule>
    <cfRule type="cellIs" dxfId="3948" priority="7144" operator="equal">
      <formula>"ITAÚ MATRIZ"</formula>
    </cfRule>
    <cfRule type="cellIs" dxfId="3947" priority="7143" operator="equal">
      <formula>"ITAÚ"</formula>
    </cfRule>
    <cfRule type="cellIs" dxfId="3946" priority="7142" operator="equal">
      <formula>"ITAÚ"</formula>
    </cfRule>
    <cfRule type="cellIs" dxfId="3945" priority="7141" operator="between">
      <formula>"ITAÚ MATRIZ"</formula>
      <formula>"ITAÚ MATRIZ"</formula>
    </cfRule>
    <cfRule type="cellIs" dxfId="3944" priority="7140" operator="between">
      <formula>"ITAÚ FILIAL"</formula>
      <formula>"ITAÚ FILIAL"</formula>
    </cfRule>
    <cfRule type="cellIs" dxfId="3943" priority="7139" operator="between">
      <formula>"ITAÚ FILIAL"</formula>
      <formula>"ITAÚ FILIAL"</formula>
    </cfRule>
    <cfRule type="cellIs" dxfId="3942" priority="7138" operator="between">
      <formula>"DAYCOVAL"</formula>
      <formula>"DAYCOVAL"</formula>
    </cfRule>
    <cfRule type="cellIs" dxfId="3941" priority="7137" operator="between">
      <formula>"SAFRA"</formula>
      <formula>"SAFRA"</formula>
    </cfRule>
    <cfRule type="cellIs" dxfId="3940" priority="7136" operator="between">
      <formula>"SAFRA"</formula>
      <formula>"SAFRA"</formula>
    </cfRule>
    <cfRule type="cellIs" dxfId="3939" priority="7135" operator="equal">
      <formula>"ITAÚ MATRIZ"</formula>
    </cfRule>
    <cfRule type="cellIs" dxfId="3938" priority="7134" operator="equal">
      <formula>"ITAÚ"</formula>
    </cfRule>
    <cfRule type="cellIs" dxfId="3937" priority="7133" operator="equal">
      <formula>"ITAÚ"</formula>
    </cfRule>
    <cfRule type="cellIs" dxfId="3936" priority="7032" operator="between">
      <formula>"ITAÚ FILIAL"</formula>
      <formula>"ITAÚ FILIAL"</formula>
    </cfRule>
    <cfRule type="cellIs" dxfId="3935" priority="7131" operator="between">
      <formula>"ITAÚ FILIAL"</formula>
      <formula>"ITAÚ FILIAL"</formula>
    </cfRule>
    <cfRule type="cellIs" dxfId="3934" priority="7033" operator="between">
      <formula>"ITAÚ MATRIZ"</formula>
      <formula>"ITAÚ MATRIZ"</formula>
    </cfRule>
    <cfRule type="cellIs" dxfId="3933" priority="7129" operator="between">
      <formula>"DAYCOVAL"</formula>
      <formula>"DAYCOVAL"</formula>
    </cfRule>
    <cfRule type="cellIs" dxfId="3932" priority="7038" operator="between">
      <formula>"SAFRA"</formula>
      <formula>"SAFRA"</formula>
    </cfRule>
    <cfRule type="cellIs" dxfId="3931" priority="7127" operator="between">
      <formula>"SAFRA"</formula>
      <formula>"SAFRA"</formula>
    </cfRule>
    <cfRule type="cellIs" dxfId="3930" priority="7126" operator="equal">
      <formula>"ITAÚ MATRIZ"</formula>
    </cfRule>
    <cfRule type="cellIs" dxfId="3929" priority="7125" operator="equal">
      <formula>"ITAÚ"</formula>
    </cfRule>
    <cfRule type="cellIs" dxfId="3928" priority="7124" operator="between">
      <formula>"ITAÚ MATRIZ"</formula>
      <formula>"ITAÚ MATRIZ"</formula>
    </cfRule>
    <cfRule type="cellIs" dxfId="3927" priority="7123" operator="equal">
      <formula>"ITAÚ MATRIZ"</formula>
    </cfRule>
    <cfRule type="cellIs" dxfId="3926" priority="7122" operator="equal">
      <formula>"ITAÚ"</formula>
    </cfRule>
    <cfRule type="cellIs" dxfId="3925" priority="7121" operator="between">
      <formula>"ITAÚ FILIAL"</formula>
      <formula>"ITAÚ FILIAL"</formula>
    </cfRule>
    <cfRule type="cellIs" dxfId="3924" priority="7120" operator="between">
      <formula>"ITAÚ FILIAL"</formula>
      <formula>"ITAÚ FILIAL"</formula>
    </cfRule>
    <cfRule type="cellIs" dxfId="3923" priority="7119" operator="between">
      <formula>"DAYCOVAL"</formula>
      <formula>"DAYCOVAL"</formula>
    </cfRule>
    <cfRule type="cellIs" dxfId="3922" priority="7118" operator="between">
      <formula>"SAFRA"</formula>
      <formula>"SAFRA"</formula>
    </cfRule>
    <cfRule type="cellIs" dxfId="3921" priority="7117" operator="between">
      <formula>"SAFRA"</formula>
      <formula>"SAFRA"</formula>
    </cfRule>
    <cfRule type="cellIs" dxfId="3920" priority="7116" operator="equal">
      <formula>"ITAÚ"</formula>
    </cfRule>
    <cfRule type="cellIs" dxfId="3919" priority="7115" operator="equal">
      <formula>"ITAÚ"</formula>
    </cfRule>
    <cfRule type="cellIs" dxfId="3918" priority="7114" operator="between">
      <formula>"ITAÚ MATRIZ"</formula>
      <formula>"ITAÚ MATRIZ"</formula>
    </cfRule>
    <cfRule type="cellIs" dxfId="3917" priority="7113" operator="between">
      <formula>"ITAÚ FILIAL"</formula>
      <formula>"ITAÚ FILIAL"</formula>
    </cfRule>
    <cfRule type="cellIs" dxfId="3916" priority="7112" operator="between">
      <formula>"ITAÚ FILIAL"</formula>
      <formula>"ITAÚ FILIAL"</formula>
    </cfRule>
    <cfRule type="cellIs" dxfId="3915" priority="7111" operator="between">
      <formula>"DAYCOVAL"</formula>
      <formula>"DAYCOVAL"</formula>
    </cfRule>
    <cfRule type="cellIs" dxfId="3914" priority="7110" operator="between">
      <formula>"SAFRA"</formula>
      <formula>"SAFRA"</formula>
    </cfRule>
    <cfRule type="cellIs" dxfId="3913" priority="7109" operator="between">
      <formula>"SAFRA"</formula>
      <formula>"SAFRA"</formula>
    </cfRule>
    <cfRule type="cellIs" dxfId="3912" priority="7108" operator="equal">
      <formula>"ITAÚ MATRIZ"</formula>
    </cfRule>
    <cfRule type="cellIs" dxfId="3911" priority="7107" operator="equal">
      <formula>"ITAÚ"</formula>
    </cfRule>
    <cfRule type="cellIs" dxfId="3910" priority="7106" operator="between">
      <formula>"ITAÚ MATRIZ"</formula>
      <formula>"ITAÚ MATRIZ"</formula>
    </cfRule>
    <cfRule type="cellIs" dxfId="3909" priority="7105" operator="equal">
      <formula>"ITAÚ MATRIZ"</formula>
    </cfRule>
    <cfRule type="cellIs" dxfId="3908" priority="7104" operator="equal">
      <formula>"ITAÚ"</formula>
    </cfRule>
    <cfRule type="cellIs" dxfId="3907" priority="7103" operator="between">
      <formula>"ITAÚ FILIAL"</formula>
      <formula>"ITAÚ FILIAL"</formula>
    </cfRule>
    <cfRule type="cellIs" dxfId="3906" priority="7102" operator="between">
      <formula>"ITAÚ FILIAL"</formula>
      <formula>"ITAÚ FILIAL"</formula>
    </cfRule>
    <cfRule type="cellIs" dxfId="3905" priority="7101" operator="between">
      <formula>"DAYCOVAL"</formula>
      <formula>"DAYCOVAL"</formula>
    </cfRule>
    <cfRule type="cellIs" dxfId="3904" priority="7100" operator="between">
      <formula>"SAFRA"</formula>
      <formula>"SAFRA"</formula>
    </cfRule>
    <cfRule type="cellIs" dxfId="3903" priority="7099" operator="between">
      <formula>"SAFRA"</formula>
      <formula>"SAFRA"</formula>
    </cfRule>
    <cfRule type="cellIs" dxfId="3902" priority="7098" operator="equal">
      <formula>"ITAÚ"</formula>
    </cfRule>
    <cfRule type="cellIs" dxfId="3901" priority="7097" operator="equal">
      <formula>"ITAÚ"</formula>
    </cfRule>
    <cfRule type="cellIs" dxfId="3900" priority="7096" operator="between">
      <formula>"ITAÚ MATRIZ"</formula>
      <formula>"ITAÚ MATRIZ"</formula>
    </cfRule>
    <cfRule type="cellIs" dxfId="3899" priority="7095" operator="between">
      <formula>"ITAÚ FILIAL"</formula>
      <formula>"ITAÚ FILIAL"</formula>
    </cfRule>
    <cfRule type="cellIs" dxfId="3898" priority="7094" operator="between">
      <formula>"ITAÚ FILIAL"</formula>
      <formula>"ITAÚ FILIAL"</formula>
    </cfRule>
    <cfRule type="cellIs" dxfId="3897" priority="7093" operator="between">
      <formula>"DAYCOVAL"</formula>
      <formula>"DAYCOVAL"</formula>
    </cfRule>
    <cfRule type="cellIs" dxfId="3896" priority="7092" operator="between">
      <formula>"SAFRA"</formula>
      <formula>"SAFRA"</formula>
    </cfRule>
    <cfRule type="cellIs" dxfId="3895" priority="7091" operator="between">
      <formula>"SAFRA"</formula>
      <formula>"SAFRA"</formula>
    </cfRule>
    <cfRule type="cellIs" dxfId="3894" priority="7090" operator="equal">
      <formula>"ITAÚ MATRIZ"</formula>
    </cfRule>
    <cfRule type="cellIs" dxfId="3893" priority="7089" operator="equal">
      <formula>"ITAÚ"</formula>
    </cfRule>
    <cfRule type="cellIs" dxfId="3892" priority="7088" operator="equal">
      <formula>"ITAÚ"</formula>
    </cfRule>
    <cfRule type="cellIs" dxfId="3891" priority="7087" operator="between">
      <formula>"ITAÚ MATRIZ"</formula>
      <formula>"ITAÚ MATRIZ"</formula>
    </cfRule>
    <cfRule type="cellIs" dxfId="3890" priority="7086" operator="between">
      <formula>"ITAÚ FILIAL"</formula>
      <formula>"ITAÚ FILIAL"</formula>
    </cfRule>
    <cfRule type="cellIs" dxfId="3889" priority="7085" operator="between">
      <formula>"ITAÚ FILIAL"</formula>
      <formula>"ITAÚ FILIAL"</formula>
    </cfRule>
    <cfRule type="cellIs" dxfId="3888" priority="7084" operator="between">
      <formula>"DAYCOVAL"</formula>
      <formula>"DAYCOVAL"</formula>
    </cfRule>
    <cfRule type="cellIs" dxfId="3887" priority="7083" operator="between">
      <formula>"SAFRA"</formula>
      <formula>"SAFRA"</formula>
    </cfRule>
    <cfRule type="cellIs" dxfId="3886" priority="7082" operator="between">
      <formula>"SAFRA"</formula>
      <formula>"SAFRA"</formula>
    </cfRule>
    <cfRule type="cellIs" dxfId="3885" priority="7081" operator="equal">
      <formula>"ITAÚ MATRIZ"</formula>
    </cfRule>
    <cfRule type="cellIs" dxfId="3884" priority="7080" operator="equal">
      <formula>"ITAÚ"</formula>
    </cfRule>
    <cfRule type="cellIs" dxfId="3883" priority="7079" operator="equal">
      <formula>"ITAÚ"</formula>
    </cfRule>
    <cfRule type="cellIs" dxfId="3882" priority="7078" operator="between">
      <formula>"ITAÚ MATRIZ"</formula>
      <formula>"ITAÚ MATRIZ"</formula>
    </cfRule>
    <cfRule type="cellIs" dxfId="3881" priority="7077" operator="between">
      <formula>"ITAÚ FILIAL"</formula>
      <formula>"ITAÚ FILIAL"</formula>
    </cfRule>
    <cfRule type="cellIs" dxfId="3880" priority="7076" operator="between">
      <formula>"ITAÚ FILIAL"</formula>
      <formula>"ITAÚ FILIAL"</formula>
    </cfRule>
    <cfRule type="cellIs" dxfId="3879" priority="7075" operator="between">
      <formula>"DAYCOVAL"</formula>
      <formula>"DAYCOVAL"</formula>
    </cfRule>
    <cfRule type="cellIs" dxfId="3878" priority="7074" operator="between">
      <formula>"SAFRA"</formula>
      <formula>"SAFRA"</formula>
    </cfRule>
    <cfRule type="cellIs" dxfId="3877" priority="7073" operator="between">
      <formula>"SAFRA"</formula>
      <formula>"SAFRA"</formula>
    </cfRule>
    <cfRule type="cellIs" dxfId="3876" priority="7072" operator="equal">
      <formula>"ITAÚ MATRIZ"</formula>
    </cfRule>
    <cfRule type="cellIs" dxfId="3875" priority="7071" operator="equal">
      <formula>"ITAÚ"</formula>
    </cfRule>
    <cfRule type="cellIs" dxfId="3874" priority="7070" operator="equal">
      <formula>"ITAÚ"</formula>
    </cfRule>
    <cfRule type="cellIs" dxfId="3873" priority="7069" operator="between">
      <formula>"ITAÚ MATRIZ"</formula>
      <formula>"ITAÚ MATRIZ"</formula>
    </cfRule>
    <cfRule type="cellIs" dxfId="3872" priority="7068" operator="between">
      <formula>"ITAÚ FILIAL"</formula>
      <formula>"ITAÚ FILIAL"</formula>
    </cfRule>
    <cfRule type="cellIs" dxfId="3871" priority="7067" operator="between">
      <formula>"ITAÚ FILIAL"</formula>
      <formula>"ITAÚ FILIAL"</formula>
    </cfRule>
    <cfRule type="cellIs" dxfId="3870" priority="7066" operator="between">
      <formula>"DAYCOVAL"</formula>
      <formula>"DAYCOVAL"</formula>
    </cfRule>
    <cfRule type="cellIs" dxfId="3869" priority="7065" operator="between">
      <formula>"SAFRA"</formula>
      <formula>"SAFRA"</formula>
    </cfRule>
    <cfRule type="cellIs" dxfId="3868" priority="7064" operator="between">
      <formula>"SAFRA"</formula>
      <formula>"SAFRA"</formula>
    </cfRule>
    <cfRule type="cellIs" dxfId="3867" priority="7063" operator="equal">
      <formula>"ITAÚ MATRIZ"</formula>
    </cfRule>
    <cfRule type="cellIs" dxfId="3866" priority="7062" operator="equal">
      <formula>"ITAÚ"</formula>
    </cfRule>
    <cfRule type="cellIs" dxfId="3865" priority="7061" operator="equal">
      <formula>"ITAÚ"</formula>
    </cfRule>
    <cfRule type="cellIs" dxfId="3864" priority="7060" operator="between">
      <formula>"ITAÚ MATRIZ"</formula>
      <formula>"ITAÚ MATRIZ"</formula>
    </cfRule>
    <cfRule type="cellIs" dxfId="3863" priority="7059" operator="between">
      <formula>"ITAÚ FILIAL"</formula>
      <formula>"ITAÚ FILIAL"</formula>
    </cfRule>
    <cfRule type="cellIs" dxfId="3862" priority="7058" operator="between">
      <formula>"ITAÚ FILIAL"</formula>
      <formula>"ITAÚ FILIAL"</formula>
    </cfRule>
    <cfRule type="cellIs" dxfId="3861" priority="7057" operator="between">
      <formula>"DAYCOVAL"</formula>
      <formula>"DAYCOVAL"</formula>
    </cfRule>
    <cfRule type="cellIs" dxfId="3860" priority="7056" operator="between">
      <formula>"SAFRA"</formula>
      <formula>"SAFRA"</formula>
    </cfRule>
    <cfRule type="cellIs" dxfId="3859" priority="7055" operator="between">
      <formula>"SAFRA"</formula>
      <formula>"SAFRA"</formula>
    </cfRule>
    <cfRule type="cellIs" dxfId="3858" priority="7054" operator="equal">
      <formula>"ITAÚ MATRIZ"</formula>
    </cfRule>
    <cfRule type="cellIs" dxfId="3857" priority="7053" operator="equal">
      <formula>"ITAÚ"</formula>
    </cfRule>
    <cfRule type="cellIs" dxfId="3856" priority="7052" operator="between">
      <formula>"ITAÚ MATRIZ"</formula>
      <formula>"ITAÚ MATRIZ"</formula>
    </cfRule>
    <cfRule type="cellIs" dxfId="3855" priority="7051" operator="equal">
      <formula>"ITAÚ MATRIZ"</formula>
    </cfRule>
    <cfRule type="cellIs" dxfId="3854" priority="7050" operator="equal">
      <formula>"ITAÚ"</formula>
    </cfRule>
    <cfRule type="cellIs" dxfId="3853" priority="7049" operator="between">
      <formula>"ITAÚ FILIAL"</formula>
      <formula>"ITAÚ FILIAL"</formula>
    </cfRule>
    <cfRule type="cellIs" dxfId="3852" priority="7048" operator="between">
      <formula>"ITAÚ FILIAL"</formula>
      <formula>"ITAÚ FILIAL"</formula>
    </cfRule>
    <cfRule type="cellIs" dxfId="3851" priority="7047" operator="between">
      <formula>"DAYCOVAL"</formula>
      <formula>"DAYCOVAL"</formula>
    </cfRule>
    <cfRule type="cellIs" dxfId="3850" priority="7046" operator="between">
      <formula>"SAFRA"</formula>
      <formula>"SAFRA"</formula>
    </cfRule>
    <cfRule type="cellIs" dxfId="3849" priority="7045" operator="between">
      <formula>"SAFRA"</formula>
      <formula>"SAFRA"</formula>
    </cfRule>
    <cfRule type="cellIs" dxfId="3848" priority="7044" operator="equal">
      <formula>"ITAÚ"</formula>
    </cfRule>
    <cfRule type="cellIs" dxfId="3847" priority="7043" operator="equal">
      <formula>"ITAÚ"</formula>
    </cfRule>
    <cfRule type="cellIs" dxfId="3846" priority="7042" operator="between">
      <formula>"ITAÚ MATRIZ"</formula>
      <formula>"ITAÚ MATRIZ"</formula>
    </cfRule>
    <cfRule type="cellIs" dxfId="3845" priority="7041" operator="between">
      <formula>"ITAÚ FILIAL"</formula>
      <formula>"ITAÚ FILIAL"</formula>
    </cfRule>
    <cfRule type="cellIs" dxfId="3844" priority="7040" operator="between">
      <formula>"ITAÚ FILIAL"</formula>
      <formula>"ITAÚ FILIAL"</formula>
    </cfRule>
    <cfRule type="cellIs" dxfId="3843" priority="7031" operator="between">
      <formula>"ITAÚ FILIAL"</formula>
      <formula>"ITAÚ FILIAL"</formula>
    </cfRule>
  </conditionalFormatting>
  <conditionalFormatting sqref="I189:I253">
    <cfRule type="cellIs" dxfId="3842" priority="7003" operator="equal">
      <formula>"ITAÚ MATRIZ"</formula>
    </cfRule>
    <cfRule type="cellIs" dxfId="3841" priority="7002" operator="equal">
      <formula>"ITAÚ"</formula>
    </cfRule>
    <cfRule type="cellIs" dxfId="3840" priority="6999" operator="between">
      <formula>"DAYCOVAL"</formula>
      <formula>"DAYCOVAL"</formula>
    </cfRule>
    <cfRule type="cellIs" dxfId="3839" priority="6998" operator="between">
      <formula>"SAFRA"</formula>
      <formula>"SAFRA"</formula>
    </cfRule>
    <cfRule type="cellIs" dxfId="3838" priority="6997" operator="between">
      <formula>"SAFRA"</formula>
      <formula>"SAFRA"</formula>
    </cfRule>
    <cfRule type="cellIs" dxfId="3837" priority="7005" operator="equal">
      <formula>"ITAÚ"</formula>
    </cfRule>
  </conditionalFormatting>
  <conditionalFormatting sqref="I190:I253">
    <cfRule type="cellIs" dxfId="3836" priority="6594" operator="between">
      <formula>"ITAÚ MATRIZ"</formula>
      <formula>"ITAÚ MATRIZ"</formula>
    </cfRule>
    <cfRule type="cellIs" dxfId="3835" priority="6600" operator="between">
      <formula>"DAYCOVAL"</formula>
      <formula>"DAYCOVAL"</formula>
    </cfRule>
    <cfRule type="cellIs" dxfId="3834" priority="6811" operator="between">
      <formula>"DAYCOVAL"</formula>
      <formula>"DAYCOVAL"</formula>
    </cfRule>
    <cfRule type="cellIs" dxfId="3833" priority="6809" operator="between">
      <formula>"SAFRA"</formula>
      <formula>"SAFRA"</formula>
    </cfRule>
    <cfRule type="cellIs" dxfId="3832" priority="7001" operator="between">
      <formula>"ITAÚ FILIAL"</formula>
      <formula>"ITAÚ FILIAL"</formula>
    </cfRule>
    <cfRule type="cellIs" dxfId="3831" priority="7000" operator="between">
      <formula>"ITAÚ FILIAL"</formula>
      <formula>"ITAÚ FILIAL"</formula>
    </cfRule>
    <cfRule type="cellIs" dxfId="3830" priority="6592" operator="between">
      <formula>"ITAÚ FILIAL"</formula>
      <formula>"ITAÚ FILIAL"</formula>
    </cfRule>
    <cfRule type="cellIs" dxfId="3829" priority="6908" operator="between">
      <formula>"SAFRA"</formula>
      <formula>"SAFRA"</formula>
    </cfRule>
    <cfRule type="cellIs" dxfId="3828" priority="6910" operator="between">
      <formula>"DAYCOVAL"</formula>
      <formula>"DAYCOVAL"</formula>
    </cfRule>
    <cfRule type="cellIs" dxfId="3827" priority="6996" operator="equal">
      <formula>"ITAÚ"</formula>
    </cfRule>
    <cfRule type="cellIs" dxfId="3826" priority="6995" operator="between">
      <formula>"ITAÚ MATRIZ"</formula>
      <formula>"ITAÚ MATRIZ"</formula>
    </cfRule>
    <cfRule type="cellIs" dxfId="3825" priority="6994" operator="equal">
      <formula>"ITAÚ MATRIZ"</formula>
    </cfRule>
    <cfRule type="cellIs" dxfId="3824" priority="6993" operator="equal">
      <formula>"ITAÚ"</formula>
    </cfRule>
    <cfRule type="cellIs" dxfId="3823" priority="6992" operator="between">
      <formula>"ITAÚ FILIAL"</formula>
      <formula>"ITAÚ FILIAL"</formula>
    </cfRule>
    <cfRule type="cellIs" dxfId="3822" priority="6991" operator="between">
      <formula>"ITAÚ FILIAL"</formula>
      <formula>"ITAÚ FILIAL"</formula>
    </cfRule>
    <cfRule type="cellIs" dxfId="3821" priority="6990" operator="between">
      <formula>"DAYCOVAL"</formula>
      <formula>"DAYCOVAL"</formula>
    </cfRule>
    <cfRule type="cellIs" dxfId="3820" priority="6989" operator="between">
      <formula>"SAFRA"</formula>
      <formula>"SAFRA"</formula>
    </cfRule>
    <cfRule type="cellIs" dxfId="3819" priority="6988" operator="between">
      <formula>"SAFRA"</formula>
      <formula>"SAFRA"</formula>
    </cfRule>
    <cfRule type="cellIs" dxfId="3818" priority="6987" operator="equal">
      <formula>"ITAÚ"</formula>
    </cfRule>
    <cfRule type="cellIs" dxfId="3817" priority="6986" operator="equal">
      <formula>"ITAÚ"</formula>
    </cfRule>
    <cfRule type="cellIs" dxfId="3816" priority="6985" operator="between">
      <formula>"ITAÚ MATRIZ"</formula>
      <formula>"ITAÚ MATRIZ"</formula>
    </cfRule>
    <cfRule type="cellIs" dxfId="3815" priority="6984" operator="between">
      <formula>"ITAÚ FILIAL"</formula>
      <formula>"ITAÚ FILIAL"</formula>
    </cfRule>
    <cfRule type="cellIs" dxfId="3814" priority="6983" operator="between">
      <formula>"ITAÚ FILIAL"</formula>
      <formula>"ITAÚ FILIAL"</formula>
    </cfRule>
    <cfRule type="cellIs" dxfId="3813" priority="6982" operator="between">
      <formula>"DAYCOVAL"</formula>
      <formula>"DAYCOVAL"</formula>
    </cfRule>
    <cfRule type="cellIs" dxfId="3812" priority="6981" operator="between">
      <formula>"SAFRA"</formula>
      <formula>"SAFRA"</formula>
    </cfRule>
    <cfRule type="cellIs" dxfId="3811" priority="6980" operator="between">
      <formula>"SAFRA"</formula>
      <formula>"SAFRA"</formula>
    </cfRule>
    <cfRule type="cellIs" dxfId="3810" priority="6979" operator="equal">
      <formula>"ITAÚ MATRIZ"</formula>
    </cfRule>
    <cfRule type="cellIs" dxfId="3809" priority="6978" operator="equal">
      <formula>"ITAÚ"</formula>
    </cfRule>
    <cfRule type="cellIs" dxfId="3808" priority="6977" operator="between">
      <formula>"ITAÚ MATRIZ"</formula>
      <formula>"ITAÚ MATRIZ"</formula>
    </cfRule>
    <cfRule type="cellIs" dxfId="3807" priority="6976" operator="equal">
      <formula>"ITAÚ MATRIZ"</formula>
    </cfRule>
    <cfRule type="cellIs" dxfId="3806" priority="6975" operator="equal">
      <formula>"ITAÚ"</formula>
    </cfRule>
    <cfRule type="cellIs" dxfId="3805" priority="6974" operator="between">
      <formula>"ITAÚ FILIAL"</formula>
      <formula>"ITAÚ FILIAL"</formula>
    </cfRule>
    <cfRule type="cellIs" dxfId="3804" priority="6973" operator="between">
      <formula>"ITAÚ FILIAL"</formula>
      <formula>"ITAÚ FILIAL"</formula>
    </cfRule>
    <cfRule type="cellIs" dxfId="3803" priority="6972" operator="between">
      <formula>"DAYCOVAL"</formula>
      <formula>"DAYCOVAL"</formula>
    </cfRule>
    <cfRule type="cellIs" dxfId="3802" priority="6971" operator="between">
      <formula>"SAFRA"</formula>
      <formula>"SAFRA"</formula>
    </cfRule>
    <cfRule type="cellIs" dxfId="3801" priority="6970" operator="between">
      <formula>"SAFRA"</formula>
      <formula>"SAFRA"</formula>
    </cfRule>
    <cfRule type="cellIs" dxfId="3800" priority="6969" operator="equal">
      <formula>"ITAÚ"</formula>
    </cfRule>
    <cfRule type="cellIs" dxfId="3799" priority="6968" operator="equal">
      <formula>"ITAÚ"</formula>
    </cfRule>
    <cfRule type="cellIs" dxfId="3798" priority="6967" operator="between">
      <formula>"ITAÚ MATRIZ"</formula>
      <formula>"ITAÚ MATRIZ"</formula>
    </cfRule>
    <cfRule type="cellIs" dxfId="3797" priority="6966" operator="between">
      <formula>"ITAÚ FILIAL"</formula>
      <formula>"ITAÚ FILIAL"</formula>
    </cfRule>
    <cfRule type="cellIs" dxfId="3796" priority="6965" operator="between">
      <formula>"ITAÚ FILIAL"</formula>
      <formula>"ITAÚ FILIAL"</formula>
    </cfRule>
    <cfRule type="cellIs" dxfId="3795" priority="6964" operator="between">
      <formula>"DAYCOVAL"</formula>
      <formula>"DAYCOVAL"</formula>
    </cfRule>
    <cfRule type="cellIs" dxfId="3794" priority="6963" operator="between">
      <formula>"SAFRA"</formula>
      <formula>"SAFRA"</formula>
    </cfRule>
    <cfRule type="cellIs" dxfId="3793" priority="6962" operator="between">
      <formula>"SAFRA"</formula>
      <formula>"SAFRA"</formula>
    </cfRule>
    <cfRule type="cellIs" dxfId="3792" priority="6961" operator="equal">
      <formula>"ITAÚ MATRIZ"</formula>
    </cfRule>
    <cfRule type="cellIs" dxfId="3791" priority="6960" operator="equal">
      <formula>"ITAÚ"</formula>
    </cfRule>
    <cfRule type="cellIs" dxfId="3790" priority="6959" operator="between">
      <formula>"ITAÚ MATRIZ"</formula>
      <formula>"ITAÚ MATRIZ"</formula>
    </cfRule>
    <cfRule type="cellIs" dxfId="3789" priority="6958" operator="equal">
      <formula>"ITAÚ MATRIZ"</formula>
    </cfRule>
    <cfRule type="cellIs" dxfId="3788" priority="6957" operator="equal">
      <formula>"ITAÚ"</formula>
    </cfRule>
    <cfRule type="cellIs" dxfId="3787" priority="6956" operator="between">
      <formula>"ITAÚ FILIAL"</formula>
      <formula>"ITAÚ FILIAL"</formula>
    </cfRule>
    <cfRule type="cellIs" dxfId="3786" priority="6955" operator="between">
      <formula>"ITAÚ FILIAL"</formula>
      <formula>"ITAÚ FILIAL"</formula>
    </cfRule>
    <cfRule type="cellIs" dxfId="3785" priority="6954" operator="between">
      <formula>"DAYCOVAL"</formula>
      <formula>"DAYCOVAL"</formula>
    </cfRule>
    <cfRule type="cellIs" dxfId="3784" priority="6953" operator="between">
      <formula>"SAFRA"</formula>
      <formula>"SAFRA"</formula>
    </cfRule>
    <cfRule type="cellIs" dxfId="3783" priority="6952" operator="between">
      <formula>"SAFRA"</formula>
      <formula>"SAFRA"</formula>
    </cfRule>
    <cfRule type="cellIs" dxfId="3782" priority="6951" operator="equal">
      <formula>"ITAÚ"</formula>
    </cfRule>
    <cfRule type="cellIs" dxfId="3781" priority="6950" operator="equal">
      <formula>"ITAÚ"</formula>
    </cfRule>
    <cfRule type="cellIs" dxfId="3780" priority="6949" operator="between">
      <formula>"ITAÚ MATRIZ"</formula>
      <formula>"ITAÚ MATRIZ"</formula>
    </cfRule>
    <cfRule type="cellIs" dxfId="3779" priority="6948" operator="between">
      <formula>"ITAÚ FILIAL"</formula>
      <formula>"ITAÚ FILIAL"</formula>
    </cfRule>
    <cfRule type="cellIs" dxfId="3778" priority="6947" operator="between">
      <formula>"ITAÚ FILIAL"</formula>
      <formula>"ITAÚ FILIAL"</formula>
    </cfRule>
    <cfRule type="cellIs" dxfId="3777" priority="6946" operator="between">
      <formula>"DAYCOVAL"</formula>
      <formula>"DAYCOVAL"</formula>
    </cfRule>
    <cfRule type="cellIs" dxfId="3776" priority="6945" operator="between">
      <formula>"SAFRA"</formula>
      <formula>"SAFRA"</formula>
    </cfRule>
    <cfRule type="cellIs" dxfId="3775" priority="6944" operator="between">
      <formula>"SAFRA"</formula>
      <formula>"SAFRA"</formula>
    </cfRule>
    <cfRule type="cellIs" dxfId="3774" priority="6943" operator="equal">
      <formula>"ITAÚ MATRIZ"</formula>
    </cfRule>
    <cfRule type="cellIs" dxfId="3773" priority="6942" operator="equal">
      <formula>"ITAÚ"</formula>
    </cfRule>
    <cfRule type="cellIs" dxfId="3772" priority="6941" operator="equal">
      <formula>"ITAÚ"</formula>
    </cfRule>
    <cfRule type="cellIs" dxfId="3771" priority="6940" operator="between">
      <formula>"ITAÚ MATRIZ"</formula>
      <formula>"ITAÚ MATRIZ"</formula>
    </cfRule>
    <cfRule type="cellIs" dxfId="3770" priority="6939" operator="between">
      <formula>"ITAÚ FILIAL"</formula>
      <formula>"ITAÚ FILIAL"</formula>
    </cfRule>
    <cfRule type="cellIs" dxfId="3769" priority="6938" operator="between">
      <formula>"ITAÚ FILIAL"</formula>
      <formula>"ITAÚ FILIAL"</formula>
    </cfRule>
    <cfRule type="cellIs" dxfId="3768" priority="6937" operator="between">
      <formula>"DAYCOVAL"</formula>
      <formula>"DAYCOVAL"</formula>
    </cfRule>
    <cfRule type="cellIs" dxfId="3767" priority="6936" operator="between">
      <formula>"SAFRA"</formula>
      <formula>"SAFRA"</formula>
    </cfRule>
    <cfRule type="cellIs" dxfId="3766" priority="6935" operator="between">
      <formula>"SAFRA"</formula>
      <formula>"SAFRA"</formula>
    </cfRule>
    <cfRule type="cellIs" dxfId="3765" priority="6934" operator="equal">
      <formula>"ITAÚ MATRIZ"</formula>
    </cfRule>
    <cfRule type="cellIs" dxfId="3764" priority="6933" operator="equal">
      <formula>"ITAÚ"</formula>
    </cfRule>
    <cfRule type="cellIs" dxfId="3763" priority="6932" operator="equal">
      <formula>"ITAÚ"</formula>
    </cfRule>
    <cfRule type="cellIs" dxfId="3762" priority="6931" operator="between">
      <formula>"ITAÚ MATRIZ"</formula>
      <formula>"ITAÚ MATRIZ"</formula>
    </cfRule>
    <cfRule type="cellIs" dxfId="3761" priority="6930" operator="between">
      <formula>"ITAÚ FILIAL"</formula>
      <formula>"ITAÚ FILIAL"</formula>
    </cfRule>
    <cfRule type="cellIs" dxfId="3760" priority="6929" operator="between">
      <formula>"ITAÚ FILIAL"</formula>
      <formula>"ITAÚ FILIAL"</formula>
    </cfRule>
    <cfRule type="cellIs" dxfId="3759" priority="6928" operator="between">
      <formula>"DAYCOVAL"</formula>
      <formula>"DAYCOVAL"</formula>
    </cfRule>
    <cfRule type="cellIs" dxfId="3758" priority="6927" operator="between">
      <formula>"SAFRA"</formula>
      <formula>"SAFRA"</formula>
    </cfRule>
    <cfRule type="cellIs" dxfId="3757" priority="6926" operator="between">
      <formula>"SAFRA"</formula>
      <formula>"SAFRA"</formula>
    </cfRule>
    <cfRule type="cellIs" dxfId="3756" priority="6925" operator="equal">
      <formula>"ITAÚ MATRIZ"</formula>
    </cfRule>
    <cfRule type="cellIs" dxfId="3755" priority="6924" operator="equal">
      <formula>"ITAÚ"</formula>
    </cfRule>
    <cfRule type="cellIs" dxfId="3754" priority="6923" operator="equal">
      <formula>"ITAÚ"</formula>
    </cfRule>
    <cfRule type="cellIs" dxfId="3753" priority="6922" operator="between">
      <formula>"ITAÚ MATRIZ"</formula>
      <formula>"ITAÚ MATRIZ"</formula>
    </cfRule>
    <cfRule type="cellIs" dxfId="3752" priority="6921" operator="between">
      <formula>"ITAÚ FILIAL"</formula>
      <formula>"ITAÚ FILIAL"</formula>
    </cfRule>
    <cfRule type="cellIs" dxfId="3751" priority="6920" operator="between">
      <formula>"ITAÚ FILIAL"</formula>
      <formula>"ITAÚ FILIAL"</formula>
    </cfRule>
    <cfRule type="cellIs" dxfId="3750" priority="6919" operator="between">
      <formula>"DAYCOVAL"</formula>
      <formula>"DAYCOVAL"</formula>
    </cfRule>
    <cfRule type="cellIs" dxfId="3749" priority="6918" operator="between">
      <formula>"SAFRA"</formula>
      <formula>"SAFRA"</formula>
    </cfRule>
    <cfRule type="cellIs" dxfId="3748" priority="6917" operator="between">
      <formula>"SAFRA"</formula>
      <formula>"SAFRA"</formula>
    </cfRule>
    <cfRule type="cellIs" dxfId="3747" priority="6916" operator="equal">
      <formula>"ITAÚ MATRIZ"</formula>
    </cfRule>
    <cfRule type="cellIs" dxfId="3746" priority="6915" operator="equal">
      <formula>"ITAÚ"</formula>
    </cfRule>
    <cfRule type="cellIs" dxfId="3745" priority="6914" operator="equal">
      <formula>"ITAÚ"</formula>
    </cfRule>
    <cfRule type="cellIs" dxfId="3744" priority="6913" operator="between">
      <formula>"ITAÚ MATRIZ"</formula>
      <formula>"ITAÚ MATRIZ"</formula>
    </cfRule>
    <cfRule type="cellIs" dxfId="3743" priority="6912" operator="between">
      <formula>"ITAÚ FILIAL"</formula>
      <formula>"ITAÚ FILIAL"</formula>
    </cfRule>
    <cfRule type="cellIs" dxfId="3742" priority="6911" operator="between">
      <formula>"ITAÚ FILIAL"</formula>
      <formula>"ITAÚ FILIAL"</formula>
    </cfRule>
    <cfRule type="cellIs" dxfId="3741" priority="6593" operator="between">
      <formula>"ITAÚ FILIAL"</formula>
      <formula>"ITAÚ FILIAL"</formula>
    </cfRule>
    <cfRule type="cellIs" dxfId="3740" priority="6909" operator="between">
      <formula>"SAFRA"</formula>
      <formula>"SAFRA"</formula>
    </cfRule>
    <cfRule type="cellIs" dxfId="3739" priority="6597" operator="equal">
      <formula>"ITAÚ MATRIZ"</formula>
    </cfRule>
    <cfRule type="cellIs" dxfId="3738" priority="6907" operator="equal">
      <formula>"ITAÚ MATRIZ"</formula>
    </cfRule>
    <cfRule type="cellIs" dxfId="3737" priority="6906" operator="equal">
      <formula>"ITAÚ"</formula>
    </cfRule>
    <cfRule type="cellIs" dxfId="3736" priority="6905" operator="between">
      <formula>"ITAÚ MATRIZ"</formula>
      <formula>"ITAÚ MATRIZ"</formula>
    </cfRule>
    <cfRule type="cellIs" dxfId="3735" priority="6904" operator="equal">
      <formula>"ITAÚ MATRIZ"</formula>
    </cfRule>
    <cfRule type="cellIs" dxfId="3734" priority="6903" operator="equal">
      <formula>"ITAÚ"</formula>
    </cfRule>
    <cfRule type="cellIs" dxfId="3733" priority="6902" operator="between">
      <formula>"ITAÚ FILIAL"</formula>
      <formula>"ITAÚ FILIAL"</formula>
    </cfRule>
    <cfRule type="cellIs" dxfId="3732" priority="6901" operator="between">
      <formula>"ITAÚ FILIAL"</formula>
      <formula>"ITAÚ FILIAL"</formula>
    </cfRule>
    <cfRule type="cellIs" dxfId="3731" priority="6900" operator="between">
      <formula>"DAYCOVAL"</formula>
      <formula>"DAYCOVAL"</formula>
    </cfRule>
    <cfRule type="cellIs" dxfId="3730" priority="6899" operator="between">
      <formula>"SAFRA"</formula>
      <formula>"SAFRA"</formula>
    </cfRule>
    <cfRule type="cellIs" dxfId="3729" priority="6898" operator="between">
      <formula>"SAFRA"</formula>
      <formula>"SAFRA"</formula>
    </cfRule>
    <cfRule type="cellIs" dxfId="3728" priority="6897" operator="equal">
      <formula>"ITAÚ"</formula>
    </cfRule>
    <cfRule type="cellIs" dxfId="3727" priority="6896" operator="equal">
      <formula>"ITAÚ"</formula>
    </cfRule>
    <cfRule type="cellIs" dxfId="3726" priority="6895" operator="between">
      <formula>"ITAÚ MATRIZ"</formula>
      <formula>"ITAÚ MATRIZ"</formula>
    </cfRule>
    <cfRule type="cellIs" dxfId="3725" priority="6894" operator="between">
      <formula>"ITAÚ FILIAL"</formula>
      <formula>"ITAÚ FILIAL"</formula>
    </cfRule>
    <cfRule type="cellIs" dxfId="3724" priority="6893" operator="between">
      <formula>"ITAÚ FILIAL"</formula>
      <formula>"ITAÚ FILIAL"</formula>
    </cfRule>
    <cfRule type="cellIs" dxfId="3723" priority="6892" operator="between">
      <formula>"DAYCOVAL"</formula>
      <formula>"DAYCOVAL"</formula>
    </cfRule>
    <cfRule type="cellIs" dxfId="3722" priority="6891" operator="between">
      <formula>"SAFRA"</formula>
      <formula>"SAFRA"</formula>
    </cfRule>
    <cfRule type="cellIs" dxfId="3721" priority="6890" operator="between">
      <formula>"SAFRA"</formula>
      <formula>"SAFRA"</formula>
    </cfRule>
    <cfRule type="cellIs" dxfId="3720" priority="6889" operator="equal">
      <formula>"ITAÚ MATRIZ"</formula>
    </cfRule>
    <cfRule type="cellIs" dxfId="3719" priority="6888" operator="equal">
      <formula>"ITAÚ"</formula>
    </cfRule>
    <cfRule type="cellIs" dxfId="3718" priority="6887" operator="between">
      <formula>"ITAÚ MATRIZ"</formula>
      <formula>"ITAÚ MATRIZ"</formula>
    </cfRule>
    <cfRule type="cellIs" dxfId="3717" priority="6886" operator="equal">
      <formula>"ITAÚ MATRIZ"</formula>
    </cfRule>
    <cfRule type="cellIs" dxfId="3716" priority="6885" operator="equal">
      <formula>"ITAÚ"</formula>
    </cfRule>
    <cfRule type="cellIs" dxfId="3715" priority="6884" operator="between">
      <formula>"ITAÚ FILIAL"</formula>
      <formula>"ITAÚ FILIAL"</formula>
    </cfRule>
    <cfRule type="cellIs" dxfId="3714" priority="6883" operator="between">
      <formula>"ITAÚ FILIAL"</formula>
      <formula>"ITAÚ FILIAL"</formula>
    </cfRule>
    <cfRule type="cellIs" dxfId="3713" priority="6882" operator="between">
      <formula>"DAYCOVAL"</formula>
      <formula>"DAYCOVAL"</formula>
    </cfRule>
    <cfRule type="cellIs" dxfId="3712" priority="6881" operator="between">
      <formula>"SAFRA"</formula>
      <formula>"SAFRA"</formula>
    </cfRule>
    <cfRule type="cellIs" dxfId="3711" priority="6880" operator="between">
      <formula>"SAFRA"</formula>
      <formula>"SAFRA"</formula>
    </cfRule>
    <cfRule type="cellIs" dxfId="3710" priority="6879" operator="equal">
      <formula>"ITAÚ"</formula>
    </cfRule>
    <cfRule type="cellIs" dxfId="3709" priority="6878" operator="equal">
      <formula>"ITAÚ"</formula>
    </cfRule>
    <cfRule type="cellIs" dxfId="3708" priority="6877" operator="between">
      <formula>"ITAÚ MATRIZ"</formula>
      <formula>"ITAÚ MATRIZ"</formula>
    </cfRule>
    <cfRule type="cellIs" dxfId="3707" priority="6876" operator="between">
      <formula>"ITAÚ FILIAL"</formula>
      <formula>"ITAÚ FILIAL"</formula>
    </cfRule>
    <cfRule type="cellIs" dxfId="3706" priority="6875" operator="between">
      <formula>"ITAÚ FILIAL"</formula>
      <formula>"ITAÚ FILIAL"</formula>
    </cfRule>
    <cfRule type="cellIs" dxfId="3705" priority="6874" operator="between">
      <formula>"DAYCOVAL"</formula>
      <formula>"DAYCOVAL"</formula>
    </cfRule>
    <cfRule type="cellIs" dxfId="3704" priority="6873" operator="between">
      <formula>"SAFRA"</formula>
      <formula>"SAFRA"</formula>
    </cfRule>
    <cfRule type="cellIs" dxfId="3703" priority="6872" operator="between">
      <formula>"SAFRA"</formula>
      <formula>"SAFRA"</formula>
    </cfRule>
    <cfRule type="cellIs" dxfId="3702" priority="6871" operator="equal">
      <formula>"ITAÚ MATRIZ"</formula>
    </cfRule>
    <cfRule type="cellIs" dxfId="3701" priority="6870" operator="equal">
      <formula>"ITAÚ"</formula>
    </cfRule>
    <cfRule type="cellIs" dxfId="3700" priority="6869" operator="equal">
      <formula>"ITAÚ"</formula>
    </cfRule>
    <cfRule type="cellIs" dxfId="3699" priority="6868" operator="between">
      <formula>"ITAÚ MATRIZ"</formula>
      <formula>"ITAÚ MATRIZ"</formula>
    </cfRule>
    <cfRule type="cellIs" dxfId="3698" priority="6867" operator="between">
      <formula>"ITAÚ FILIAL"</formula>
      <formula>"ITAÚ FILIAL"</formula>
    </cfRule>
    <cfRule type="cellIs" dxfId="3697" priority="6866" operator="between">
      <formula>"ITAÚ FILIAL"</formula>
      <formula>"ITAÚ FILIAL"</formula>
    </cfRule>
    <cfRule type="cellIs" dxfId="3696" priority="6865" operator="between">
      <formula>"DAYCOVAL"</formula>
      <formula>"DAYCOVAL"</formula>
    </cfRule>
    <cfRule type="cellIs" dxfId="3695" priority="6864" operator="between">
      <formula>"SAFRA"</formula>
      <formula>"SAFRA"</formula>
    </cfRule>
    <cfRule type="cellIs" dxfId="3694" priority="6863" operator="between">
      <formula>"SAFRA"</formula>
      <formula>"SAFRA"</formula>
    </cfRule>
    <cfRule type="cellIs" dxfId="3693" priority="6862" operator="equal">
      <formula>"ITAÚ MATRIZ"</formula>
    </cfRule>
    <cfRule type="cellIs" dxfId="3692" priority="6861" operator="equal">
      <formula>"ITAÚ"</formula>
    </cfRule>
    <cfRule type="cellIs" dxfId="3691" priority="6860" operator="equal">
      <formula>"ITAÚ"</formula>
    </cfRule>
    <cfRule type="cellIs" dxfId="3690" priority="6859" operator="between">
      <formula>"ITAÚ MATRIZ"</formula>
      <formula>"ITAÚ MATRIZ"</formula>
    </cfRule>
    <cfRule type="cellIs" dxfId="3689" priority="6858" operator="between">
      <formula>"ITAÚ FILIAL"</formula>
      <formula>"ITAÚ FILIAL"</formula>
    </cfRule>
    <cfRule type="cellIs" dxfId="3688" priority="6857" operator="between">
      <formula>"ITAÚ FILIAL"</formula>
      <formula>"ITAÚ FILIAL"</formula>
    </cfRule>
    <cfRule type="cellIs" dxfId="3687" priority="6856" operator="between">
      <formula>"DAYCOVAL"</formula>
      <formula>"DAYCOVAL"</formula>
    </cfRule>
    <cfRule type="cellIs" dxfId="3686" priority="6855" operator="between">
      <formula>"SAFRA"</formula>
      <formula>"SAFRA"</formula>
    </cfRule>
    <cfRule type="cellIs" dxfId="3685" priority="6854" operator="between">
      <formula>"SAFRA"</formula>
      <formula>"SAFRA"</formula>
    </cfRule>
    <cfRule type="cellIs" dxfId="3684" priority="6853" operator="equal">
      <formula>"ITAÚ MATRIZ"</formula>
    </cfRule>
    <cfRule type="cellIs" dxfId="3683" priority="6852" operator="equal">
      <formula>"ITAÚ"</formula>
    </cfRule>
    <cfRule type="cellIs" dxfId="3682" priority="6851" operator="equal">
      <formula>"ITAÚ"</formula>
    </cfRule>
    <cfRule type="cellIs" dxfId="3681" priority="6850" operator="between">
      <formula>"ITAÚ MATRIZ"</formula>
      <formula>"ITAÚ MATRIZ"</formula>
    </cfRule>
    <cfRule type="cellIs" dxfId="3680" priority="6849" operator="between">
      <formula>"ITAÚ FILIAL"</formula>
      <formula>"ITAÚ FILIAL"</formula>
    </cfRule>
    <cfRule type="cellIs" dxfId="3679" priority="6848" operator="between">
      <formula>"ITAÚ FILIAL"</formula>
      <formula>"ITAÚ FILIAL"</formula>
    </cfRule>
    <cfRule type="cellIs" dxfId="3678" priority="6847" operator="between">
      <formula>"DAYCOVAL"</formula>
      <formula>"DAYCOVAL"</formula>
    </cfRule>
    <cfRule type="cellIs" dxfId="3677" priority="6846" operator="between">
      <formula>"SAFRA"</formula>
      <formula>"SAFRA"</formula>
    </cfRule>
    <cfRule type="cellIs" dxfId="3676" priority="6845" operator="between">
      <formula>"SAFRA"</formula>
      <formula>"SAFRA"</formula>
    </cfRule>
    <cfRule type="cellIs" dxfId="3675" priority="6844" operator="equal">
      <formula>"ITAÚ MATRIZ"</formula>
    </cfRule>
    <cfRule type="cellIs" dxfId="3674" priority="6843" operator="equal">
      <formula>"ITAÚ"</formula>
    </cfRule>
    <cfRule type="cellIs" dxfId="3673" priority="6842" operator="equal">
      <formula>"ITAÚ"</formula>
    </cfRule>
    <cfRule type="cellIs" dxfId="3672" priority="6841" operator="between">
      <formula>"ITAÚ MATRIZ"</formula>
      <formula>"ITAÚ MATRIZ"</formula>
    </cfRule>
    <cfRule type="cellIs" dxfId="3671" priority="6840" operator="between">
      <formula>"ITAÚ FILIAL"</formula>
      <formula>"ITAÚ FILIAL"</formula>
    </cfRule>
    <cfRule type="cellIs" dxfId="3670" priority="6839" operator="between">
      <formula>"ITAÚ FILIAL"</formula>
      <formula>"ITAÚ FILIAL"</formula>
    </cfRule>
    <cfRule type="cellIs" dxfId="3669" priority="6838" operator="between">
      <formula>"DAYCOVAL"</formula>
      <formula>"DAYCOVAL"</formula>
    </cfRule>
    <cfRule type="cellIs" dxfId="3668" priority="6837" operator="between">
      <formula>"SAFRA"</formula>
      <formula>"SAFRA"</formula>
    </cfRule>
    <cfRule type="cellIs" dxfId="3667" priority="6836" operator="between">
      <formula>"SAFRA"</formula>
      <formula>"SAFRA"</formula>
    </cfRule>
    <cfRule type="cellIs" dxfId="3666" priority="6835" operator="equal">
      <formula>"ITAÚ MATRIZ"</formula>
    </cfRule>
    <cfRule type="cellIs" dxfId="3665" priority="6834" operator="equal">
      <formula>"ITAÚ"</formula>
    </cfRule>
    <cfRule type="cellIs" dxfId="3664" priority="6833" operator="between">
      <formula>"ITAÚ MATRIZ"</formula>
      <formula>"ITAÚ MATRIZ"</formula>
    </cfRule>
    <cfRule type="cellIs" dxfId="3663" priority="6832" operator="equal">
      <formula>"ITAÚ MATRIZ"</formula>
    </cfRule>
    <cfRule type="cellIs" dxfId="3662" priority="6831" operator="equal">
      <formula>"ITAÚ"</formula>
    </cfRule>
    <cfRule type="cellIs" dxfId="3661" priority="6830" operator="between">
      <formula>"ITAÚ FILIAL"</formula>
      <formula>"ITAÚ FILIAL"</formula>
    </cfRule>
    <cfRule type="cellIs" dxfId="3660" priority="6829" operator="between">
      <formula>"ITAÚ FILIAL"</formula>
      <formula>"ITAÚ FILIAL"</formula>
    </cfRule>
    <cfRule type="cellIs" dxfId="3659" priority="6828" operator="between">
      <formula>"DAYCOVAL"</formula>
      <formula>"DAYCOVAL"</formula>
    </cfRule>
    <cfRule type="cellIs" dxfId="3658" priority="6827" operator="between">
      <formula>"SAFRA"</formula>
      <formula>"SAFRA"</formula>
    </cfRule>
    <cfRule type="cellIs" dxfId="3657" priority="6826" operator="between">
      <formula>"SAFRA"</formula>
      <formula>"SAFRA"</formula>
    </cfRule>
    <cfRule type="cellIs" dxfId="3656" priority="6825" operator="equal">
      <formula>"ITAÚ"</formula>
    </cfRule>
    <cfRule type="cellIs" dxfId="3655" priority="6824" operator="equal">
      <formula>"ITAÚ"</formula>
    </cfRule>
    <cfRule type="cellIs" dxfId="3654" priority="6823" operator="between">
      <formula>"ITAÚ MATRIZ"</formula>
      <formula>"ITAÚ MATRIZ"</formula>
    </cfRule>
    <cfRule type="cellIs" dxfId="3653" priority="6822" operator="between">
      <formula>"ITAÚ FILIAL"</formula>
      <formula>"ITAÚ FILIAL"</formula>
    </cfRule>
    <cfRule type="cellIs" dxfId="3652" priority="6821" operator="between">
      <formula>"ITAÚ FILIAL"</formula>
      <formula>"ITAÚ FILIAL"</formula>
    </cfRule>
    <cfRule type="cellIs" dxfId="3651" priority="6820" operator="between">
      <formula>"DAYCOVAL"</formula>
      <formula>"DAYCOVAL"</formula>
    </cfRule>
    <cfRule type="cellIs" dxfId="3650" priority="6819" operator="between">
      <formula>"SAFRA"</formula>
      <formula>"SAFRA"</formula>
    </cfRule>
    <cfRule type="cellIs" dxfId="3649" priority="6818" operator="between">
      <formula>"SAFRA"</formula>
      <formula>"SAFRA"</formula>
    </cfRule>
    <cfRule type="cellIs" dxfId="3648" priority="6817" operator="equal">
      <formula>"ITAÚ MATRIZ"</formula>
    </cfRule>
    <cfRule type="cellIs" dxfId="3647" priority="6816" operator="equal">
      <formula>"ITAÚ"</formula>
    </cfRule>
    <cfRule type="cellIs" dxfId="3646" priority="6815" operator="equal">
      <formula>"ITAÚ"</formula>
    </cfRule>
    <cfRule type="cellIs" dxfId="3645" priority="6814" operator="between">
      <formula>"ITAÚ MATRIZ"</formula>
      <formula>"ITAÚ MATRIZ"</formula>
    </cfRule>
    <cfRule type="cellIs" dxfId="3644" priority="6599" operator="between">
      <formula>"SAFRA"</formula>
      <formula>"SAFRA"</formula>
    </cfRule>
    <cfRule type="cellIs" dxfId="3643" priority="6812" operator="between">
      <formula>"ITAÚ FILIAL"</formula>
      <formula>"ITAÚ FILIAL"</formula>
    </cfRule>
    <cfRule type="cellIs" dxfId="3642" priority="6810" operator="between">
      <formula>"SAFRA"</formula>
      <formula>"SAFRA"</formula>
    </cfRule>
    <cfRule type="cellIs" dxfId="3641" priority="7004" operator="between">
      <formula>"ITAÚ MATRIZ"</formula>
      <formula>"ITAÚ MATRIZ"</formula>
    </cfRule>
    <cfRule type="cellIs" dxfId="3640" priority="6598" operator="between">
      <formula>"SAFRA"</formula>
      <formula>"SAFRA"</formula>
    </cfRule>
    <cfRule type="cellIs" dxfId="3639" priority="6808" operator="equal">
      <formula>"ITAÚ MATRIZ"</formula>
    </cfRule>
    <cfRule type="cellIs" dxfId="3638" priority="6785" operator="equal">
      <formula>"ITAÚ"</formula>
    </cfRule>
    <cfRule type="cellIs" dxfId="3637" priority="6784" operator="between">
      <formula>"ITAÚ MATRIZ"</formula>
      <formula>"ITAÚ MATRIZ"</formula>
    </cfRule>
    <cfRule type="cellIs" dxfId="3636" priority="6783" operator="equal">
      <formula>"ITAÚ MATRIZ"</formula>
    </cfRule>
    <cfRule type="cellIs" dxfId="3635" priority="6782" operator="equal">
      <formula>"ITAÚ"</formula>
    </cfRule>
    <cfRule type="cellIs" dxfId="3634" priority="6781" operator="between">
      <formula>"ITAÚ FILIAL"</formula>
      <formula>"ITAÚ FILIAL"</formula>
    </cfRule>
    <cfRule type="cellIs" dxfId="3633" priority="6780" operator="between">
      <formula>"ITAÚ FILIAL"</formula>
      <formula>"ITAÚ FILIAL"</formula>
    </cfRule>
    <cfRule type="cellIs" dxfId="3632" priority="6779" operator="between">
      <formula>"DAYCOVAL"</formula>
      <formula>"DAYCOVAL"</formula>
    </cfRule>
    <cfRule type="cellIs" dxfId="3631" priority="6778" operator="between">
      <formula>"SAFRA"</formula>
      <formula>"SAFRA"</formula>
    </cfRule>
    <cfRule type="cellIs" dxfId="3630" priority="6777" operator="between">
      <formula>"SAFRA"</formula>
      <formula>"SAFRA"</formula>
    </cfRule>
    <cfRule type="cellIs" dxfId="3629" priority="6776" operator="equal">
      <formula>"ITAÚ"</formula>
    </cfRule>
    <cfRule type="cellIs" dxfId="3628" priority="6775" operator="between">
      <formula>"ITAÚ MATRIZ"</formula>
      <formula>"ITAÚ MATRIZ"</formula>
    </cfRule>
    <cfRule type="cellIs" dxfId="3627" priority="6774" operator="equal">
      <formula>"ITAÚ MATRIZ"</formula>
    </cfRule>
    <cfRule type="cellIs" dxfId="3626" priority="6773" operator="equal">
      <formula>"ITAÚ"</formula>
    </cfRule>
    <cfRule type="cellIs" dxfId="3625" priority="6772" operator="between">
      <formula>"ITAÚ FILIAL"</formula>
      <formula>"ITAÚ FILIAL"</formula>
    </cfRule>
    <cfRule type="cellIs" dxfId="3624" priority="6771" operator="between">
      <formula>"ITAÚ FILIAL"</formula>
      <formula>"ITAÚ FILIAL"</formula>
    </cfRule>
    <cfRule type="cellIs" dxfId="3623" priority="6770" operator="between">
      <formula>"DAYCOVAL"</formula>
      <formula>"DAYCOVAL"</formula>
    </cfRule>
    <cfRule type="cellIs" dxfId="3622" priority="6769" operator="between">
      <formula>"SAFRA"</formula>
      <formula>"SAFRA"</formula>
    </cfRule>
    <cfRule type="cellIs" dxfId="3621" priority="6768" operator="between">
      <formula>"SAFRA"</formula>
      <formula>"SAFRA"</formula>
    </cfRule>
    <cfRule type="cellIs" dxfId="3620" priority="6767" operator="equal">
      <formula>"ITAÚ"</formula>
    </cfRule>
    <cfRule type="cellIs" dxfId="3619" priority="6766" operator="equal">
      <formula>"ITAÚ"</formula>
    </cfRule>
    <cfRule type="cellIs" dxfId="3618" priority="6765" operator="between">
      <formula>"ITAÚ MATRIZ"</formula>
      <formula>"ITAÚ MATRIZ"</formula>
    </cfRule>
    <cfRule type="cellIs" dxfId="3617" priority="6764" operator="between">
      <formula>"ITAÚ FILIAL"</formula>
      <formula>"ITAÚ FILIAL"</formula>
    </cfRule>
    <cfRule type="cellIs" dxfId="3616" priority="6763" operator="between">
      <formula>"ITAÚ FILIAL"</formula>
      <formula>"ITAÚ FILIAL"</formula>
    </cfRule>
    <cfRule type="cellIs" dxfId="3615" priority="6762" operator="between">
      <formula>"DAYCOVAL"</formula>
      <formula>"DAYCOVAL"</formula>
    </cfRule>
    <cfRule type="cellIs" dxfId="3614" priority="6761" operator="between">
      <formula>"SAFRA"</formula>
      <formula>"SAFRA"</formula>
    </cfRule>
    <cfRule type="cellIs" dxfId="3613" priority="6760" operator="between">
      <formula>"SAFRA"</formula>
      <formula>"SAFRA"</formula>
    </cfRule>
    <cfRule type="cellIs" dxfId="3612" priority="6759" operator="equal">
      <formula>"ITAÚ MATRIZ"</formula>
    </cfRule>
    <cfRule type="cellIs" dxfId="3611" priority="6758" operator="equal">
      <formula>"ITAÚ"</formula>
    </cfRule>
    <cfRule type="cellIs" dxfId="3610" priority="6757" operator="between">
      <formula>"ITAÚ MATRIZ"</formula>
      <formula>"ITAÚ MATRIZ"</formula>
    </cfRule>
    <cfRule type="cellIs" dxfId="3609" priority="6756" operator="equal">
      <formula>"ITAÚ MATRIZ"</formula>
    </cfRule>
    <cfRule type="cellIs" dxfId="3608" priority="6755" operator="equal">
      <formula>"ITAÚ"</formula>
    </cfRule>
    <cfRule type="cellIs" dxfId="3607" priority="6754" operator="between">
      <formula>"ITAÚ FILIAL"</formula>
      <formula>"ITAÚ FILIAL"</formula>
    </cfRule>
    <cfRule type="cellIs" dxfId="3606" priority="6753" operator="between">
      <formula>"ITAÚ FILIAL"</formula>
      <formula>"ITAÚ FILIAL"</formula>
    </cfRule>
    <cfRule type="cellIs" dxfId="3605" priority="6752" operator="between">
      <formula>"DAYCOVAL"</formula>
      <formula>"DAYCOVAL"</formula>
    </cfRule>
    <cfRule type="cellIs" dxfId="3604" priority="6751" operator="between">
      <formula>"SAFRA"</formula>
      <formula>"SAFRA"</formula>
    </cfRule>
    <cfRule type="cellIs" dxfId="3603" priority="6750" operator="between">
      <formula>"SAFRA"</formula>
      <formula>"SAFRA"</formula>
    </cfRule>
    <cfRule type="cellIs" dxfId="3602" priority="6749" operator="equal">
      <formula>"ITAÚ"</formula>
    </cfRule>
    <cfRule type="cellIs" dxfId="3601" priority="6748" operator="equal">
      <formula>"ITAÚ"</formula>
    </cfRule>
    <cfRule type="cellIs" dxfId="3600" priority="6747" operator="between">
      <formula>"ITAÚ MATRIZ"</formula>
      <formula>"ITAÚ MATRIZ"</formula>
    </cfRule>
    <cfRule type="cellIs" dxfId="3599" priority="6746" operator="between">
      <formula>"ITAÚ FILIAL"</formula>
      <formula>"ITAÚ FILIAL"</formula>
    </cfRule>
    <cfRule type="cellIs" dxfId="3598" priority="6745" operator="between">
      <formula>"ITAÚ FILIAL"</formula>
      <formula>"ITAÚ FILIAL"</formula>
    </cfRule>
    <cfRule type="cellIs" dxfId="3597" priority="6744" operator="between">
      <formula>"DAYCOVAL"</formula>
      <formula>"DAYCOVAL"</formula>
    </cfRule>
    <cfRule type="cellIs" dxfId="3596" priority="6743" operator="between">
      <formula>"SAFRA"</formula>
      <formula>"SAFRA"</formula>
    </cfRule>
    <cfRule type="cellIs" dxfId="3595" priority="6742" operator="between">
      <formula>"SAFRA"</formula>
      <formula>"SAFRA"</formula>
    </cfRule>
    <cfRule type="cellIs" dxfId="3594" priority="6741" operator="equal">
      <formula>"ITAÚ MATRIZ"</formula>
    </cfRule>
    <cfRule type="cellIs" dxfId="3593" priority="6740" operator="equal">
      <formula>"ITAÚ"</formula>
    </cfRule>
    <cfRule type="cellIs" dxfId="3592" priority="6739" operator="between">
      <formula>"ITAÚ MATRIZ"</formula>
      <formula>"ITAÚ MATRIZ"</formula>
    </cfRule>
    <cfRule type="cellIs" dxfId="3591" priority="6738" operator="equal">
      <formula>"ITAÚ MATRIZ"</formula>
    </cfRule>
    <cfRule type="cellIs" dxfId="3590" priority="6737" operator="equal">
      <formula>"ITAÚ"</formula>
    </cfRule>
    <cfRule type="cellIs" dxfId="3589" priority="6736" operator="between">
      <formula>"ITAÚ FILIAL"</formula>
      <formula>"ITAÚ FILIAL"</formula>
    </cfRule>
    <cfRule type="cellIs" dxfId="3588" priority="6735" operator="between">
      <formula>"ITAÚ FILIAL"</formula>
      <formula>"ITAÚ FILIAL"</formula>
    </cfRule>
    <cfRule type="cellIs" dxfId="3587" priority="6734" operator="between">
      <formula>"DAYCOVAL"</formula>
      <formula>"DAYCOVAL"</formula>
    </cfRule>
    <cfRule type="cellIs" dxfId="3586" priority="6733" operator="between">
      <formula>"SAFRA"</formula>
      <formula>"SAFRA"</formula>
    </cfRule>
    <cfRule type="cellIs" dxfId="3585" priority="6732" operator="between">
      <formula>"SAFRA"</formula>
      <formula>"SAFRA"</formula>
    </cfRule>
    <cfRule type="cellIs" dxfId="3584" priority="6731" operator="equal">
      <formula>"ITAÚ"</formula>
    </cfRule>
    <cfRule type="cellIs" dxfId="3583" priority="6730" operator="equal">
      <formula>"ITAÚ"</formula>
    </cfRule>
    <cfRule type="cellIs" dxfId="3582" priority="6729" operator="between">
      <formula>"ITAÚ MATRIZ"</formula>
      <formula>"ITAÚ MATRIZ"</formula>
    </cfRule>
    <cfRule type="cellIs" dxfId="3581" priority="6728" operator="between">
      <formula>"ITAÚ FILIAL"</formula>
      <formula>"ITAÚ FILIAL"</formula>
    </cfRule>
    <cfRule type="cellIs" dxfId="3580" priority="6727" operator="between">
      <formula>"ITAÚ FILIAL"</formula>
      <formula>"ITAÚ FILIAL"</formula>
    </cfRule>
    <cfRule type="cellIs" dxfId="3579" priority="6726" operator="between">
      <formula>"DAYCOVAL"</formula>
      <formula>"DAYCOVAL"</formula>
    </cfRule>
    <cfRule type="cellIs" dxfId="3578" priority="6725" operator="between">
      <formula>"SAFRA"</formula>
      <formula>"SAFRA"</formula>
    </cfRule>
    <cfRule type="cellIs" dxfId="3577" priority="6724" operator="between">
      <formula>"SAFRA"</formula>
      <formula>"SAFRA"</formula>
    </cfRule>
    <cfRule type="cellIs" dxfId="3576" priority="6723" operator="equal">
      <formula>"ITAÚ MATRIZ"</formula>
    </cfRule>
    <cfRule type="cellIs" dxfId="3575" priority="6722" operator="equal">
      <formula>"ITAÚ"</formula>
    </cfRule>
    <cfRule type="cellIs" dxfId="3574" priority="6721" operator="equal">
      <formula>"ITAÚ"</formula>
    </cfRule>
    <cfRule type="cellIs" dxfId="3573" priority="6720" operator="between">
      <formula>"ITAÚ MATRIZ"</formula>
      <formula>"ITAÚ MATRIZ"</formula>
    </cfRule>
    <cfRule type="cellIs" dxfId="3572" priority="6719" operator="between">
      <formula>"ITAÚ FILIAL"</formula>
      <formula>"ITAÚ FILIAL"</formula>
    </cfRule>
    <cfRule type="cellIs" dxfId="3571" priority="6718" operator="between">
      <formula>"ITAÚ FILIAL"</formula>
      <formula>"ITAÚ FILIAL"</formula>
    </cfRule>
    <cfRule type="cellIs" dxfId="3570" priority="6717" operator="between">
      <formula>"DAYCOVAL"</formula>
      <formula>"DAYCOVAL"</formula>
    </cfRule>
    <cfRule type="cellIs" dxfId="3569" priority="6716" operator="between">
      <formula>"SAFRA"</formula>
      <formula>"SAFRA"</formula>
    </cfRule>
    <cfRule type="cellIs" dxfId="3568" priority="6715" operator="between">
      <formula>"SAFRA"</formula>
      <formula>"SAFRA"</formula>
    </cfRule>
    <cfRule type="cellIs" dxfId="3567" priority="6714" operator="equal">
      <formula>"ITAÚ MATRIZ"</formula>
    </cfRule>
    <cfRule type="cellIs" dxfId="3566" priority="6713" operator="equal">
      <formula>"ITAÚ"</formula>
    </cfRule>
    <cfRule type="cellIs" dxfId="3565" priority="6712" operator="equal">
      <formula>"ITAÚ"</formula>
    </cfRule>
    <cfRule type="cellIs" dxfId="3564" priority="6711" operator="between">
      <formula>"ITAÚ MATRIZ"</formula>
      <formula>"ITAÚ MATRIZ"</formula>
    </cfRule>
    <cfRule type="cellIs" dxfId="3563" priority="6710" operator="between">
      <formula>"ITAÚ FILIAL"</formula>
      <formula>"ITAÚ FILIAL"</formula>
    </cfRule>
    <cfRule type="cellIs" dxfId="3562" priority="6709" operator="between">
      <formula>"ITAÚ FILIAL"</formula>
      <formula>"ITAÚ FILIAL"</formula>
    </cfRule>
    <cfRule type="cellIs" dxfId="3561" priority="6708" operator="between">
      <formula>"DAYCOVAL"</formula>
      <formula>"DAYCOVAL"</formula>
    </cfRule>
    <cfRule type="cellIs" dxfId="3560" priority="6707" operator="between">
      <formula>"SAFRA"</formula>
      <formula>"SAFRA"</formula>
    </cfRule>
    <cfRule type="cellIs" dxfId="3559" priority="6706" operator="between">
      <formula>"SAFRA"</formula>
      <formula>"SAFRA"</formula>
    </cfRule>
    <cfRule type="cellIs" dxfId="3558" priority="6705" operator="equal">
      <formula>"ITAÚ MATRIZ"</formula>
    </cfRule>
    <cfRule type="cellIs" dxfId="3557" priority="6704" operator="equal">
      <formula>"ITAÚ"</formula>
    </cfRule>
    <cfRule type="cellIs" dxfId="3556" priority="6703" operator="equal">
      <formula>"ITAÚ"</formula>
    </cfRule>
    <cfRule type="cellIs" dxfId="3555" priority="6702" operator="between">
      <formula>"ITAÚ MATRIZ"</formula>
      <formula>"ITAÚ MATRIZ"</formula>
    </cfRule>
    <cfRule type="cellIs" dxfId="3554" priority="6701" operator="between">
      <formula>"ITAÚ FILIAL"</formula>
      <formula>"ITAÚ FILIAL"</formula>
    </cfRule>
    <cfRule type="cellIs" dxfId="3553" priority="6700" operator="between">
      <formula>"ITAÚ FILIAL"</formula>
      <formula>"ITAÚ FILIAL"</formula>
    </cfRule>
    <cfRule type="cellIs" dxfId="3552" priority="6699" operator="between">
      <formula>"DAYCOVAL"</formula>
      <formula>"DAYCOVAL"</formula>
    </cfRule>
    <cfRule type="cellIs" dxfId="3551" priority="6698" operator="between">
      <formula>"SAFRA"</formula>
      <formula>"SAFRA"</formula>
    </cfRule>
    <cfRule type="cellIs" dxfId="3550" priority="6697" operator="between">
      <formula>"SAFRA"</formula>
      <formula>"SAFRA"</formula>
    </cfRule>
    <cfRule type="cellIs" dxfId="3549" priority="6696" operator="equal">
      <formula>"ITAÚ MATRIZ"</formula>
    </cfRule>
    <cfRule type="cellIs" dxfId="3548" priority="6695" operator="equal">
      <formula>"ITAÚ"</formula>
    </cfRule>
    <cfRule type="cellIs" dxfId="3547" priority="6694" operator="equal">
      <formula>"ITAÚ"</formula>
    </cfRule>
    <cfRule type="cellIs" dxfId="3546" priority="6693" operator="between">
      <formula>"ITAÚ MATRIZ"</formula>
      <formula>"ITAÚ MATRIZ"</formula>
    </cfRule>
    <cfRule type="cellIs" dxfId="3545" priority="6692" operator="between">
      <formula>"ITAÚ FILIAL"</formula>
      <formula>"ITAÚ FILIAL"</formula>
    </cfRule>
    <cfRule type="cellIs" dxfId="3544" priority="6691" operator="between">
      <formula>"ITAÚ FILIAL"</formula>
      <formula>"ITAÚ FILIAL"</formula>
    </cfRule>
    <cfRule type="cellIs" dxfId="3543" priority="6690" operator="between">
      <formula>"DAYCOVAL"</formula>
      <formula>"DAYCOVAL"</formula>
    </cfRule>
    <cfRule type="cellIs" dxfId="3542" priority="6689" operator="between">
      <formula>"SAFRA"</formula>
      <formula>"SAFRA"</formula>
    </cfRule>
    <cfRule type="cellIs" dxfId="3541" priority="6688" operator="between">
      <formula>"SAFRA"</formula>
      <formula>"SAFRA"</formula>
    </cfRule>
    <cfRule type="cellIs" dxfId="3540" priority="6687" operator="equal">
      <formula>"ITAÚ MATRIZ"</formula>
    </cfRule>
    <cfRule type="cellIs" dxfId="3539" priority="6686" operator="equal">
      <formula>"ITAÚ"</formula>
    </cfRule>
    <cfRule type="cellIs" dxfId="3538" priority="6685" operator="between">
      <formula>"ITAÚ MATRIZ"</formula>
      <formula>"ITAÚ MATRIZ"</formula>
    </cfRule>
    <cfRule type="cellIs" dxfId="3537" priority="6684" operator="equal">
      <formula>"ITAÚ MATRIZ"</formula>
    </cfRule>
    <cfRule type="cellIs" dxfId="3536" priority="6683" operator="equal">
      <formula>"ITAÚ"</formula>
    </cfRule>
    <cfRule type="cellIs" dxfId="3535" priority="6682" operator="between">
      <formula>"ITAÚ FILIAL"</formula>
      <formula>"ITAÚ FILIAL"</formula>
    </cfRule>
    <cfRule type="cellIs" dxfId="3534" priority="6681" operator="between">
      <formula>"ITAÚ FILIAL"</formula>
      <formula>"ITAÚ FILIAL"</formula>
    </cfRule>
    <cfRule type="cellIs" dxfId="3533" priority="6680" operator="between">
      <formula>"DAYCOVAL"</formula>
      <formula>"DAYCOVAL"</formula>
    </cfRule>
    <cfRule type="cellIs" dxfId="3532" priority="6679" operator="between">
      <formula>"SAFRA"</formula>
      <formula>"SAFRA"</formula>
    </cfRule>
    <cfRule type="cellIs" dxfId="3531" priority="6678" operator="between">
      <formula>"SAFRA"</formula>
      <formula>"SAFRA"</formula>
    </cfRule>
    <cfRule type="cellIs" dxfId="3530" priority="6677" operator="equal">
      <formula>"ITAÚ"</formula>
    </cfRule>
    <cfRule type="cellIs" dxfId="3529" priority="6676" operator="equal">
      <formula>"ITAÚ"</formula>
    </cfRule>
    <cfRule type="cellIs" dxfId="3528" priority="6675" operator="between">
      <formula>"ITAÚ MATRIZ"</formula>
      <formula>"ITAÚ MATRIZ"</formula>
    </cfRule>
    <cfRule type="cellIs" dxfId="3527" priority="6674" operator="between">
      <formula>"ITAÚ FILIAL"</formula>
      <formula>"ITAÚ FILIAL"</formula>
    </cfRule>
    <cfRule type="cellIs" dxfId="3526" priority="6673" operator="between">
      <formula>"ITAÚ FILIAL"</formula>
      <formula>"ITAÚ FILIAL"</formula>
    </cfRule>
    <cfRule type="cellIs" dxfId="3525" priority="6672" operator="between">
      <formula>"DAYCOVAL"</formula>
      <formula>"DAYCOVAL"</formula>
    </cfRule>
    <cfRule type="cellIs" dxfId="3524" priority="6671" operator="between">
      <formula>"SAFRA"</formula>
      <formula>"SAFRA"</formula>
    </cfRule>
    <cfRule type="cellIs" dxfId="3523" priority="6670" operator="between">
      <formula>"SAFRA"</formula>
      <formula>"SAFRA"</formula>
    </cfRule>
    <cfRule type="cellIs" dxfId="3522" priority="6669" operator="equal">
      <formula>"ITAÚ MATRIZ"</formula>
    </cfRule>
    <cfRule type="cellIs" dxfId="3521" priority="6668" operator="equal">
      <formula>"ITAÚ"</formula>
    </cfRule>
    <cfRule type="cellIs" dxfId="3520" priority="6667" operator="between">
      <formula>"ITAÚ MATRIZ"</formula>
      <formula>"ITAÚ MATRIZ"</formula>
    </cfRule>
    <cfRule type="cellIs" dxfId="3519" priority="6666" operator="equal">
      <formula>"ITAÚ MATRIZ"</formula>
    </cfRule>
    <cfRule type="cellIs" dxfId="3518" priority="6665" operator="equal">
      <formula>"ITAÚ"</formula>
    </cfRule>
    <cfRule type="cellIs" dxfId="3517" priority="6664" operator="between">
      <formula>"ITAÚ FILIAL"</formula>
      <formula>"ITAÚ FILIAL"</formula>
    </cfRule>
    <cfRule type="cellIs" dxfId="3516" priority="6663" operator="between">
      <formula>"ITAÚ FILIAL"</formula>
      <formula>"ITAÚ FILIAL"</formula>
    </cfRule>
    <cfRule type="cellIs" dxfId="3515" priority="6662" operator="between">
      <formula>"DAYCOVAL"</formula>
      <formula>"DAYCOVAL"</formula>
    </cfRule>
    <cfRule type="cellIs" dxfId="3514" priority="6661" operator="between">
      <formula>"SAFRA"</formula>
      <formula>"SAFRA"</formula>
    </cfRule>
    <cfRule type="cellIs" dxfId="3513" priority="6660" operator="between">
      <formula>"SAFRA"</formula>
      <formula>"SAFRA"</formula>
    </cfRule>
    <cfRule type="cellIs" dxfId="3512" priority="6659" operator="equal">
      <formula>"ITAÚ"</formula>
    </cfRule>
    <cfRule type="cellIs" dxfId="3511" priority="6658" operator="equal">
      <formula>"ITAÚ"</formula>
    </cfRule>
    <cfRule type="cellIs" dxfId="3510" priority="6657" operator="between">
      <formula>"ITAÚ MATRIZ"</formula>
      <formula>"ITAÚ MATRIZ"</formula>
    </cfRule>
    <cfRule type="cellIs" dxfId="3509" priority="6656" operator="between">
      <formula>"ITAÚ FILIAL"</formula>
      <formula>"ITAÚ FILIAL"</formula>
    </cfRule>
    <cfRule type="cellIs" dxfId="3508" priority="6655" operator="between">
      <formula>"ITAÚ FILIAL"</formula>
      <formula>"ITAÚ FILIAL"</formula>
    </cfRule>
    <cfRule type="cellIs" dxfId="3507" priority="6654" operator="between">
      <formula>"DAYCOVAL"</formula>
      <formula>"DAYCOVAL"</formula>
    </cfRule>
    <cfRule type="cellIs" dxfId="3506" priority="6653" operator="between">
      <formula>"SAFRA"</formula>
      <formula>"SAFRA"</formula>
    </cfRule>
    <cfRule type="cellIs" dxfId="3505" priority="6652" operator="between">
      <formula>"SAFRA"</formula>
      <formula>"SAFRA"</formula>
    </cfRule>
    <cfRule type="cellIs" dxfId="3504" priority="6651" operator="equal">
      <formula>"ITAÚ MATRIZ"</formula>
    </cfRule>
    <cfRule type="cellIs" dxfId="3503" priority="6650" operator="equal">
      <formula>"ITAÚ"</formula>
    </cfRule>
    <cfRule type="cellIs" dxfId="3502" priority="6649" operator="equal">
      <formula>"ITAÚ"</formula>
    </cfRule>
    <cfRule type="cellIs" dxfId="3501" priority="6648" operator="between">
      <formula>"ITAÚ MATRIZ"</formula>
      <formula>"ITAÚ MATRIZ"</formula>
    </cfRule>
    <cfRule type="cellIs" dxfId="3500" priority="6647" operator="between">
      <formula>"ITAÚ FILIAL"</formula>
      <formula>"ITAÚ FILIAL"</formula>
    </cfRule>
    <cfRule type="cellIs" dxfId="3499" priority="6646" operator="between">
      <formula>"ITAÚ FILIAL"</formula>
      <formula>"ITAÚ FILIAL"</formula>
    </cfRule>
    <cfRule type="cellIs" dxfId="3498" priority="6645" operator="between">
      <formula>"DAYCOVAL"</formula>
      <formula>"DAYCOVAL"</formula>
    </cfRule>
    <cfRule type="cellIs" dxfId="3497" priority="6644" operator="between">
      <formula>"SAFRA"</formula>
      <formula>"SAFRA"</formula>
    </cfRule>
    <cfRule type="cellIs" dxfId="3496" priority="6643" operator="between">
      <formula>"SAFRA"</formula>
      <formula>"SAFRA"</formula>
    </cfRule>
    <cfRule type="cellIs" dxfId="3495" priority="6642" operator="equal">
      <formula>"ITAÚ MATRIZ"</formula>
    </cfRule>
    <cfRule type="cellIs" dxfId="3494" priority="6641" operator="equal">
      <formula>"ITAÚ"</formula>
    </cfRule>
    <cfRule type="cellIs" dxfId="3493" priority="6640" operator="equal">
      <formula>"ITAÚ"</formula>
    </cfRule>
    <cfRule type="cellIs" dxfId="3492" priority="6639" operator="between">
      <formula>"ITAÚ MATRIZ"</formula>
      <formula>"ITAÚ MATRIZ"</formula>
    </cfRule>
    <cfRule type="cellIs" dxfId="3491" priority="6638" operator="between">
      <formula>"ITAÚ FILIAL"</formula>
      <formula>"ITAÚ FILIAL"</formula>
    </cfRule>
    <cfRule type="cellIs" dxfId="3490" priority="6637" operator="between">
      <formula>"ITAÚ FILIAL"</formula>
      <formula>"ITAÚ FILIAL"</formula>
    </cfRule>
    <cfRule type="cellIs" dxfId="3489" priority="6636" operator="between">
      <formula>"DAYCOVAL"</formula>
      <formula>"DAYCOVAL"</formula>
    </cfRule>
    <cfRule type="cellIs" dxfId="3488" priority="6635" operator="between">
      <formula>"SAFRA"</formula>
      <formula>"SAFRA"</formula>
    </cfRule>
    <cfRule type="cellIs" dxfId="3487" priority="6634" operator="between">
      <formula>"SAFRA"</formula>
      <formula>"SAFRA"</formula>
    </cfRule>
    <cfRule type="cellIs" dxfId="3486" priority="6633" operator="equal">
      <formula>"ITAÚ MATRIZ"</formula>
    </cfRule>
    <cfRule type="cellIs" dxfId="3485" priority="6632" operator="equal">
      <formula>"ITAÚ"</formula>
    </cfRule>
    <cfRule type="cellIs" dxfId="3484" priority="6631" operator="equal">
      <formula>"ITAÚ"</formula>
    </cfRule>
    <cfRule type="cellIs" dxfId="3483" priority="6630" operator="between">
      <formula>"ITAÚ MATRIZ"</formula>
      <formula>"ITAÚ MATRIZ"</formula>
    </cfRule>
    <cfRule type="cellIs" dxfId="3482" priority="6629" operator="between">
      <formula>"ITAÚ FILIAL"</formula>
      <formula>"ITAÚ FILIAL"</formula>
    </cfRule>
    <cfRule type="cellIs" dxfId="3481" priority="6628" operator="between">
      <formula>"ITAÚ FILIAL"</formula>
      <formula>"ITAÚ FILIAL"</formula>
    </cfRule>
    <cfRule type="cellIs" dxfId="3480" priority="6627" operator="between">
      <formula>"DAYCOVAL"</formula>
      <formula>"DAYCOVAL"</formula>
    </cfRule>
    <cfRule type="cellIs" dxfId="3479" priority="6626" operator="between">
      <formula>"SAFRA"</formula>
      <formula>"SAFRA"</formula>
    </cfRule>
    <cfRule type="cellIs" dxfId="3478" priority="6625" operator="between">
      <formula>"SAFRA"</formula>
      <formula>"SAFRA"</formula>
    </cfRule>
    <cfRule type="cellIs" dxfId="3477" priority="6624" operator="equal">
      <formula>"ITAÚ MATRIZ"</formula>
    </cfRule>
    <cfRule type="cellIs" dxfId="3476" priority="6623" operator="equal">
      <formula>"ITAÚ"</formula>
    </cfRule>
    <cfRule type="cellIs" dxfId="3475" priority="6622" operator="equal">
      <formula>"ITAÚ"</formula>
    </cfRule>
    <cfRule type="cellIs" dxfId="3474" priority="6621" operator="between">
      <formula>"ITAÚ MATRIZ"</formula>
      <formula>"ITAÚ MATRIZ"</formula>
    </cfRule>
    <cfRule type="cellIs" dxfId="3473" priority="6620" operator="between">
      <formula>"ITAÚ FILIAL"</formula>
      <formula>"ITAÚ FILIAL"</formula>
    </cfRule>
    <cfRule type="cellIs" dxfId="3472" priority="6619" operator="between">
      <formula>"ITAÚ FILIAL"</formula>
      <formula>"ITAÚ FILIAL"</formula>
    </cfRule>
    <cfRule type="cellIs" dxfId="3471" priority="6618" operator="between">
      <formula>"DAYCOVAL"</formula>
      <formula>"DAYCOVAL"</formula>
    </cfRule>
    <cfRule type="cellIs" dxfId="3470" priority="6617" operator="between">
      <formula>"SAFRA"</formula>
      <formula>"SAFRA"</formula>
    </cfRule>
    <cfRule type="cellIs" dxfId="3469" priority="6616" operator="between">
      <formula>"SAFRA"</formula>
      <formula>"SAFRA"</formula>
    </cfRule>
    <cfRule type="cellIs" dxfId="3468" priority="6615" operator="equal">
      <formula>"ITAÚ MATRIZ"</formula>
    </cfRule>
    <cfRule type="cellIs" dxfId="3467" priority="6614" operator="equal">
      <formula>"ITAÚ"</formula>
    </cfRule>
    <cfRule type="cellIs" dxfId="3466" priority="6613" operator="between">
      <formula>"ITAÚ MATRIZ"</formula>
      <formula>"ITAÚ MATRIZ"</formula>
    </cfRule>
    <cfRule type="cellIs" dxfId="3465" priority="6612" operator="equal">
      <formula>"ITAÚ MATRIZ"</formula>
    </cfRule>
    <cfRule type="cellIs" dxfId="3464" priority="6611" operator="equal">
      <formula>"ITAÚ"</formula>
    </cfRule>
    <cfRule type="cellIs" dxfId="3463" priority="6610" operator="between">
      <formula>"ITAÚ FILIAL"</formula>
      <formula>"ITAÚ FILIAL"</formula>
    </cfRule>
    <cfRule type="cellIs" dxfId="3462" priority="6609" operator="between">
      <formula>"ITAÚ FILIAL"</formula>
      <formula>"ITAÚ FILIAL"</formula>
    </cfRule>
    <cfRule type="cellIs" dxfId="3461" priority="6608" operator="between">
      <formula>"DAYCOVAL"</formula>
      <formula>"DAYCOVAL"</formula>
    </cfRule>
    <cfRule type="cellIs" dxfId="3460" priority="6607" operator="between">
      <formula>"SAFRA"</formula>
      <formula>"SAFRA"</formula>
    </cfRule>
    <cfRule type="cellIs" dxfId="3459" priority="6606" operator="between">
      <formula>"SAFRA"</formula>
      <formula>"SAFRA"</formula>
    </cfRule>
    <cfRule type="cellIs" dxfId="3458" priority="6605" operator="equal">
      <formula>"ITAÚ"</formula>
    </cfRule>
    <cfRule type="cellIs" dxfId="3457" priority="6604" operator="equal">
      <formula>"ITAÚ"</formula>
    </cfRule>
    <cfRule type="cellIs" dxfId="3456" priority="6603" operator="between">
      <formula>"ITAÚ MATRIZ"</formula>
      <formula>"ITAÚ MATRIZ"</formula>
    </cfRule>
    <cfRule type="cellIs" dxfId="3455" priority="6602" operator="between">
      <formula>"ITAÚ FILIAL"</formula>
      <formula>"ITAÚ FILIAL"</formula>
    </cfRule>
    <cfRule type="cellIs" dxfId="3454" priority="6601" operator="between">
      <formula>"ITAÚ FILIAL"</formula>
      <formula>"ITAÚ FILIAL"</formula>
    </cfRule>
    <cfRule type="cellIs" dxfId="3453" priority="6813" operator="between">
      <formula>"ITAÚ FILIAL"</formula>
      <formula>"ITAÚ FILIAL"</formula>
    </cfRule>
  </conditionalFormatting>
  <conditionalFormatting sqref="I190:I257">
    <cfRule type="cellIs" dxfId="3452" priority="6561" operator="between">
      <formula>"SAFRA"</formula>
      <formula>"SAFRA"</formula>
    </cfRule>
    <cfRule type="cellIs" dxfId="3451" priority="6562" operator="between">
      <formula>"SAFRA"</formula>
      <formula>"SAFRA"</formula>
    </cfRule>
    <cfRule type="cellIs" dxfId="3450" priority="6567" operator="equal">
      <formula>"ITAÚ MATRIZ"</formula>
    </cfRule>
    <cfRule type="cellIs" dxfId="3449" priority="6563" operator="between">
      <formula>"DAYCOVAL"</formula>
      <formula>"DAYCOVAL"</formula>
    </cfRule>
    <cfRule type="cellIs" dxfId="3448" priority="6566" operator="equal">
      <formula>"ITAÚ"</formula>
    </cfRule>
    <cfRule type="cellIs" dxfId="3447" priority="6569" operator="equal">
      <formula>"ITAÚ"</formula>
    </cfRule>
  </conditionalFormatting>
  <conditionalFormatting sqref="I254:I257">
    <cfRule type="cellIs" dxfId="3446" priority="6473" operator="between">
      <formula>"SAFRA"</formula>
      <formula>"SAFRA"</formula>
    </cfRule>
    <cfRule type="cellIs" dxfId="3445" priority="6385" operator="between">
      <formula>"ITAÚ FILIAL"</formula>
      <formula>"ITAÚ FILIAL"</formula>
    </cfRule>
    <cfRule type="cellIs" dxfId="3444" priority="6568" operator="between">
      <formula>"ITAÚ MATRIZ"</formula>
      <formula>"ITAÚ MATRIZ"</formula>
    </cfRule>
    <cfRule type="cellIs" dxfId="3443" priority="6381" operator="equal">
      <formula>"ITAÚ MATRIZ"</formula>
    </cfRule>
    <cfRule type="cellIs" dxfId="3442" priority="6377" operator="between">
      <formula>"ITAÚ FILIAL"</formula>
      <formula>"ITAÚ FILIAL"</formula>
    </cfRule>
    <cfRule type="cellIs" dxfId="3441" priority="6565" operator="between">
      <formula>"ITAÚ FILIAL"</formula>
      <formula>"ITAÚ FILIAL"</formula>
    </cfRule>
    <cfRule type="cellIs" dxfId="3440" priority="6564" operator="between">
      <formula>"ITAÚ FILIAL"</formula>
      <formula>"ITAÚ FILIAL"</formula>
    </cfRule>
    <cfRule type="cellIs" dxfId="3439" priority="6378" operator="between">
      <formula>"ITAÚ MATRIZ"</formula>
      <formula>"ITAÚ MATRIZ"</formula>
    </cfRule>
    <cfRule type="cellIs" dxfId="3438" priority="6382" operator="between">
      <formula>"SAFRA"</formula>
      <formula>"SAFRA"</formula>
    </cfRule>
    <cfRule type="cellIs" dxfId="3437" priority="6383" operator="between">
      <formula>"SAFRA"</formula>
      <formula>"SAFRA"</formula>
    </cfRule>
    <cfRule type="cellIs" dxfId="3436" priority="6560" operator="equal">
      <formula>"ITAÚ"</formula>
    </cfRule>
    <cfRule type="cellIs" dxfId="3435" priority="6559" operator="between">
      <formula>"ITAÚ MATRIZ"</formula>
      <formula>"ITAÚ MATRIZ"</formula>
    </cfRule>
    <cfRule type="cellIs" dxfId="3434" priority="6558" operator="equal">
      <formula>"ITAÚ MATRIZ"</formula>
    </cfRule>
    <cfRule type="cellIs" dxfId="3433" priority="6557" operator="equal">
      <formula>"ITAÚ"</formula>
    </cfRule>
    <cfRule type="cellIs" dxfId="3432" priority="6556" operator="between">
      <formula>"ITAÚ FILIAL"</formula>
      <formula>"ITAÚ FILIAL"</formula>
    </cfRule>
    <cfRule type="cellIs" dxfId="3431" priority="6555" operator="between">
      <formula>"ITAÚ FILIAL"</formula>
      <formula>"ITAÚ FILIAL"</formula>
    </cfRule>
    <cfRule type="cellIs" dxfId="3430" priority="6554" operator="between">
      <formula>"DAYCOVAL"</formula>
      <formula>"DAYCOVAL"</formula>
    </cfRule>
    <cfRule type="cellIs" dxfId="3429" priority="6553" operator="between">
      <formula>"SAFRA"</formula>
      <formula>"SAFRA"</formula>
    </cfRule>
    <cfRule type="cellIs" dxfId="3428" priority="6552" operator="between">
      <formula>"SAFRA"</formula>
      <formula>"SAFRA"</formula>
    </cfRule>
    <cfRule type="cellIs" dxfId="3427" priority="6551" operator="equal">
      <formula>"ITAÚ"</formula>
    </cfRule>
    <cfRule type="cellIs" dxfId="3426" priority="6550" operator="equal">
      <formula>"ITAÚ"</formula>
    </cfRule>
    <cfRule type="cellIs" dxfId="3425" priority="6549" operator="between">
      <formula>"ITAÚ MATRIZ"</formula>
      <formula>"ITAÚ MATRIZ"</formula>
    </cfRule>
    <cfRule type="cellIs" dxfId="3424" priority="6548" operator="between">
      <formula>"ITAÚ FILIAL"</formula>
      <formula>"ITAÚ FILIAL"</formula>
    </cfRule>
    <cfRule type="cellIs" dxfId="3423" priority="6547" operator="between">
      <formula>"ITAÚ FILIAL"</formula>
      <formula>"ITAÚ FILIAL"</formula>
    </cfRule>
    <cfRule type="cellIs" dxfId="3422" priority="6546" operator="between">
      <formula>"DAYCOVAL"</formula>
      <formula>"DAYCOVAL"</formula>
    </cfRule>
    <cfRule type="cellIs" dxfId="3421" priority="6545" operator="between">
      <formula>"SAFRA"</formula>
      <formula>"SAFRA"</formula>
    </cfRule>
    <cfRule type="cellIs" dxfId="3420" priority="6544" operator="between">
      <formula>"SAFRA"</formula>
      <formula>"SAFRA"</formula>
    </cfRule>
    <cfRule type="cellIs" dxfId="3419" priority="6543" operator="equal">
      <formula>"ITAÚ MATRIZ"</formula>
    </cfRule>
    <cfRule type="cellIs" dxfId="3418" priority="6542" operator="equal">
      <formula>"ITAÚ"</formula>
    </cfRule>
    <cfRule type="cellIs" dxfId="3417" priority="6541" operator="between">
      <formula>"ITAÚ MATRIZ"</formula>
      <formula>"ITAÚ MATRIZ"</formula>
    </cfRule>
    <cfRule type="cellIs" dxfId="3416" priority="6540" operator="equal">
      <formula>"ITAÚ MATRIZ"</formula>
    </cfRule>
    <cfRule type="cellIs" dxfId="3415" priority="6539" operator="equal">
      <formula>"ITAÚ"</formula>
    </cfRule>
    <cfRule type="cellIs" dxfId="3414" priority="6538" operator="between">
      <formula>"ITAÚ FILIAL"</formula>
      <formula>"ITAÚ FILIAL"</formula>
    </cfRule>
    <cfRule type="cellIs" dxfId="3413" priority="6537" operator="between">
      <formula>"ITAÚ FILIAL"</formula>
      <formula>"ITAÚ FILIAL"</formula>
    </cfRule>
    <cfRule type="cellIs" dxfId="3412" priority="6536" operator="between">
      <formula>"DAYCOVAL"</formula>
      <formula>"DAYCOVAL"</formula>
    </cfRule>
    <cfRule type="cellIs" dxfId="3411" priority="6535" operator="between">
      <formula>"SAFRA"</formula>
      <formula>"SAFRA"</formula>
    </cfRule>
    <cfRule type="cellIs" dxfId="3410" priority="6534" operator="between">
      <formula>"SAFRA"</formula>
      <formula>"SAFRA"</formula>
    </cfRule>
    <cfRule type="cellIs" dxfId="3409" priority="6533" operator="equal">
      <formula>"ITAÚ"</formula>
    </cfRule>
    <cfRule type="cellIs" dxfId="3408" priority="6532" operator="equal">
      <formula>"ITAÚ"</formula>
    </cfRule>
    <cfRule type="cellIs" dxfId="3407" priority="6531" operator="between">
      <formula>"ITAÚ MATRIZ"</formula>
      <formula>"ITAÚ MATRIZ"</formula>
    </cfRule>
    <cfRule type="cellIs" dxfId="3406" priority="6530" operator="between">
      <formula>"ITAÚ FILIAL"</formula>
      <formula>"ITAÚ FILIAL"</formula>
    </cfRule>
    <cfRule type="cellIs" dxfId="3405" priority="6529" operator="between">
      <formula>"ITAÚ FILIAL"</formula>
      <formula>"ITAÚ FILIAL"</formula>
    </cfRule>
    <cfRule type="cellIs" dxfId="3404" priority="6528" operator="between">
      <formula>"DAYCOVAL"</formula>
      <formula>"DAYCOVAL"</formula>
    </cfRule>
    <cfRule type="cellIs" dxfId="3403" priority="6527" operator="between">
      <formula>"SAFRA"</formula>
      <formula>"SAFRA"</formula>
    </cfRule>
    <cfRule type="cellIs" dxfId="3402" priority="6526" operator="between">
      <formula>"SAFRA"</formula>
      <formula>"SAFRA"</formula>
    </cfRule>
    <cfRule type="cellIs" dxfId="3401" priority="6525" operator="equal">
      <formula>"ITAÚ MATRIZ"</formula>
    </cfRule>
    <cfRule type="cellIs" dxfId="3400" priority="6524" operator="equal">
      <formula>"ITAÚ"</formula>
    </cfRule>
    <cfRule type="cellIs" dxfId="3399" priority="6523" operator="between">
      <formula>"ITAÚ MATRIZ"</formula>
      <formula>"ITAÚ MATRIZ"</formula>
    </cfRule>
    <cfRule type="cellIs" dxfId="3398" priority="6522" operator="equal">
      <formula>"ITAÚ MATRIZ"</formula>
    </cfRule>
    <cfRule type="cellIs" dxfId="3397" priority="6521" operator="equal">
      <formula>"ITAÚ"</formula>
    </cfRule>
    <cfRule type="cellIs" dxfId="3396" priority="6520" operator="between">
      <formula>"ITAÚ FILIAL"</formula>
      <formula>"ITAÚ FILIAL"</formula>
    </cfRule>
    <cfRule type="cellIs" dxfId="3395" priority="6519" operator="between">
      <formula>"ITAÚ FILIAL"</formula>
      <formula>"ITAÚ FILIAL"</formula>
    </cfRule>
    <cfRule type="cellIs" dxfId="3394" priority="6518" operator="between">
      <formula>"DAYCOVAL"</formula>
      <formula>"DAYCOVAL"</formula>
    </cfRule>
    <cfRule type="cellIs" dxfId="3393" priority="6517" operator="between">
      <formula>"SAFRA"</formula>
      <formula>"SAFRA"</formula>
    </cfRule>
    <cfRule type="cellIs" dxfId="3392" priority="6516" operator="between">
      <formula>"SAFRA"</formula>
      <formula>"SAFRA"</formula>
    </cfRule>
    <cfRule type="cellIs" dxfId="3391" priority="6515" operator="equal">
      <formula>"ITAÚ"</formula>
    </cfRule>
    <cfRule type="cellIs" dxfId="3390" priority="6514" operator="equal">
      <formula>"ITAÚ"</formula>
    </cfRule>
    <cfRule type="cellIs" dxfId="3389" priority="6513" operator="between">
      <formula>"ITAÚ MATRIZ"</formula>
      <formula>"ITAÚ MATRIZ"</formula>
    </cfRule>
    <cfRule type="cellIs" dxfId="3388" priority="6512" operator="between">
      <formula>"ITAÚ FILIAL"</formula>
      <formula>"ITAÚ FILIAL"</formula>
    </cfRule>
    <cfRule type="cellIs" dxfId="3387" priority="6511" operator="between">
      <formula>"ITAÚ FILIAL"</formula>
      <formula>"ITAÚ FILIAL"</formula>
    </cfRule>
    <cfRule type="cellIs" dxfId="3386" priority="6510" operator="between">
      <formula>"DAYCOVAL"</formula>
      <formula>"DAYCOVAL"</formula>
    </cfRule>
    <cfRule type="cellIs" dxfId="3385" priority="6509" operator="between">
      <formula>"SAFRA"</formula>
      <formula>"SAFRA"</formula>
    </cfRule>
    <cfRule type="cellIs" dxfId="3384" priority="6508" operator="between">
      <formula>"SAFRA"</formula>
      <formula>"SAFRA"</formula>
    </cfRule>
    <cfRule type="cellIs" dxfId="3383" priority="6507" operator="equal">
      <formula>"ITAÚ MATRIZ"</formula>
    </cfRule>
    <cfRule type="cellIs" dxfId="3382" priority="6506" operator="equal">
      <formula>"ITAÚ"</formula>
    </cfRule>
    <cfRule type="cellIs" dxfId="3381" priority="6505" operator="equal">
      <formula>"ITAÚ"</formula>
    </cfRule>
    <cfRule type="cellIs" dxfId="3380" priority="6504" operator="between">
      <formula>"ITAÚ MATRIZ"</formula>
      <formula>"ITAÚ MATRIZ"</formula>
    </cfRule>
    <cfRule type="cellIs" dxfId="3379" priority="6503" operator="between">
      <formula>"ITAÚ FILIAL"</formula>
      <formula>"ITAÚ FILIAL"</formula>
    </cfRule>
    <cfRule type="cellIs" dxfId="3378" priority="6502" operator="between">
      <formula>"ITAÚ FILIAL"</formula>
      <formula>"ITAÚ FILIAL"</formula>
    </cfRule>
    <cfRule type="cellIs" dxfId="3377" priority="6501" operator="between">
      <formula>"DAYCOVAL"</formula>
      <formula>"DAYCOVAL"</formula>
    </cfRule>
    <cfRule type="cellIs" dxfId="3376" priority="6500" operator="between">
      <formula>"SAFRA"</formula>
      <formula>"SAFRA"</formula>
    </cfRule>
    <cfRule type="cellIs" dxfId="3375" priority="6499" operator="between">
      <formula>"SAFRA"</formula>
      <formula>"SAFRA"</formula>
    </cfRule>
    <cfRule type="cellIs" dxfId="3374" priority="6498" operator="equal">
      <formula>"ITAÚ MATRIZ"</formula>
    </cfRule>
    <cfRule type="cellIs" dxfId="3373" priority="6497" operator="equal">
      <formula>"ITAÚ"</formula>
    </cfRule>
    <cfRule type="cellIs" dxfId="3372" priority="6496" operator="equal">
      <formula>"ITAÚ"</formula>
    </cfRule>
    <cfRule type="cellIs" dxfId="3371" priority="6495" operator="between">
      <formula>"ITAÚ MATRIZ"</formula>
      <formula>"ITAÚ MATRIZ"</formula>
    </cfRule>
    <cfRule type="cellIs" dxfId="3370" priority="6494" operator="between">
      <formula>"ITAÚ FILIAL"</formula>
      <formula>"ITAÚ FILIAL"</formula>
    </cfRule>
    <cfRule type="cellIs" dxfId="3369" priority="6493" operator="between">
      <formula>"ITAÚ FILIAL"</formula>
      <formula>"ITAÚ FILIAL"</formula>
    </cfRule>
    <cfRule type="cellIs" dxfId="3368" priority="6492" operator="between">
      <formula>"DAYCOVAL"</formula>
      <formula>"DAYCOVAL"</formula>
    </cfRule>
    <cfRule type="cellIs" dxfId="3367" priority="6491" operator="between">
      <formula>"SAFRA"</formula>
      <formula>"SAFRA"</formula>
    </cfRule>
    <cfRule type="cellIs" dxfId="3366" priority="6490" operator="between">
      <formula>"SAFRA"</formula>
      <formula>"SAFRA"</formula>
    </cfRule>
    <cfRule type="cellIs" dxfId="3365" priority="6489" operator="equal">
      <formula>"ITAÚ MATRIZ"</formula>
    </cfRule>
    <cfRule type="cellIs" dxfId="3364" priority="6488" operator="equal">
      <formula>"ITAÚ"</formula>
    </cfRule>
    <cfRule type="cellIs" dxfId="3363" priority="6487" operator="equal">
      <formula>"ITAÚ"</formula>
    </cfRule>
    <cfRule type="cellIs" dxfId="3362" priority="6486" operator="between">
      <formula>"ITAÚ MATRIZ"</formula>
      <formula>"ITAÚ MATRIZ"</formula>
    </cfRule>
    <cfRule type="cellIs" dxfId="3361" priority="6485" operator="between">
      <formula>"ITAÚ FILIAL"</formula>
      <formula>"ITAÚ FILIAL"</formula>
    </cfRule>
    <cfRule type="cellIs" dxfId="3360" priority="6484" operator="between">
      <formula>"ITAÚ FILIAL"</formula>
      <formula>"ITAÚ FILIAL"</formula>
    </cfRule>
    <cfRule type="cellIs" dxfId="3359" priority="6483" operator="between">
      <formula>"DAYCOVAL"</formula>
      <formula>"DAYCOVAL"</formula>
    </cfRule>
    <cfRule type="cellIs" dxfId="3358" priority="6482" operator="between">
      <formula>"SAFRA"</formula>
      <formula>"SAFRA"</formula>
    </cfRule>
    <cfRule type="cellIs" dxfId="3357" priority="6481" operator="between">
      <formula>"SAFRA"</formula>
      <formula>"SAFRA"</formula>
    </cfRule>
    <cfRule type="cellIs" dxfId="3356" priority="6480" operator="equal">
      <formula>"ITAÚ MATRIZ"</formula>
    </cfRule>
    <cfRule type="cellIs" dxfId="3355" priority="6479" operator="equal">
      <formula>"ITAÚ"</formula>
    </cfRule>
    <cfRule type="cellIs" dxfId="3354" priority="6478" operator="equal">
      <formula>"ITAÚ"</formula>
    </cfRule>
    <cfRule type="cellIs" dxfId="3353" priority="6477" operator="between">
      <formula>"ITAÚ MATRIZ"</formula>
      <formula>"ITAÚ MATRIZ"</formula>
    </cfRule>
    <cfRule type="cellIs" dxfId="3352" priority="6476" operator="between">
      <formula>"ITAÚ FILIAL"</formula>
      <formula>"ITAÚ FILIAL"</formula>
    </cfRule>
    <cfRule type="cellIs" dxfId="3351" priority="6475" operator="between">
      <formula>"ITAÚ FILIAL"</formula>
      <formula>"ITAÚ FILIAL"</formula>
    </cfRule>
    <cfRule type="cellIs" dxfId="3350" priority="6376" operator="between">
      <formula>"ITAÚ FILIAL"</formula>
      <formula>"ITAÚ FILIAL"</formula>
    </cfRule>
    <cfRule type="cellIs" dxfId="3349" priority="6384" operator="between">
      <formula>"DAYCOVAL"</formula>
      <formula>"DAYCOVAL"</formula>
    </cfRule>
    <cfRule type="cellIs" dxfId="3348" priority="6472" operator="between">
      <formula>"SAFRA"</formula>
      <formula>"SAFRA"</formula>
    </cfRule>
    <cfRule type="cellIs" dxfId="3347" priority="6471" operator="equal">
      <formula>"ITAÚ MATRIZ"</formula>
    </cfRule>
    <cfRule type="cellIs" dxfId="3346" priority="6470" operator="equal">
      <formula>"ITAÚ"</formula>
    </cfRule>
    <cfRule type="cellIs" dxfId="3345" priority="6469" operator="between">
      <formula>"ITAÚ MATRIZ"</formula>
      <formula>"ITAÚ MATRIZ"</formula>
    </cfRule>
    <cfRule type="cellIs" dxfId="3344" priority="6468" operator="equal">
      <formula>"ITAÚ MATRIZ"</formula>
    </cfRule>
    <cfRule type="cellIs" dxfId="3343" priority="6467" operator="equal">
      <formula>"ITAÚ"</formula>
    </cfRule>
    <cfRule type="cellIs" dxfId="3342" priority="6466" operator="between">
      <formula>"ITAÚ FILIAL"</formula>
      <formula>"ITAÚ FILIAL"</formula>
    </cfRule>
    <cfRule type="cellIs" dxfId="3341" priority="6465" operator="between">
      <formula>"ITAÚ FILIAL"</formula>
      <formula>"ITAÚ FILIAL"</formula>
    </cfRule>
    <cfRule type="cellIs" dxfId="3340" priority="6464" operator="between">
      <formula>"DAYCOVAL"</formula>
      <formula>"DAYCOVAL"</formula>
    </cfRule>
    <cfRule type="cellIs" dxfId="3339" priority="6463" operator="between">
      <formula>"SAFRA"</formula>
      <formula>"SAFRA"</formula>
    </cfRule>
    <cfRule type="cellIs" dxfId="3338" priority="6462" operator="between">
      <formula>"SAFRA"</formula>
      <formula>"SAFRA"</formula>
    </cfRule>
    <cfRule type="cellIs" dxfId="3337" priority="6461" operator="equal">
      <formula>"ITAÚ"</formula>
    </cfRule>
    <cfRule type="cellIs" dxfId="3336" priority="6460" operator="equal">
      <formula>"ITAÚ"</formula>
    </cfRule>
    <cfRule type="cellIs" dxfId="3335" priority="6459" operator="between">
      <formula>"ITAÚ MATRIZ"</formula>
      <formula>"ITAÚ MATRIZ"</formula>
    </cfRule>
    <cfRule type="cellIs" dxfId="3334" priority="6458" operator="between">
      <formula>"ITAÚ FILIAL"</formula>
      <formula>"ITAÚ FILIAL"</formula>
    </cfRule>
    <cfRule type="cellIs" dxfId="3333" priority="6457" operator="between">
      <formula>"ITAÚ FILIAL"</formula>
      <formula>"ITAÚ FILIAL"</formula>
    </cfRule>
    <cfRule type="cellIs" dxfId="3332" priority="6456" operator="between">
      <formula>"DAYCOVAL"</formula>
      <formula>"DAYCOVAL"</formula>
    </cfRule>
    <cfRule type="cellIs" dxfId="3331" priority="6455" operator="between">
      <formula>"SAFRA"</formula>
      <formula>"SAFRA"</formula>
    </cfRule>
    <cfRule type="cellIs" dxfId="3330" priority="6454" operator="between">
      <formula>"SAFRA"</formula>
      <formula>"SAFRA"</formula>
    </cfRule>
    <cfRule type="cellIs" dxfId="3329" priority="6453" operator="equal">
      <formula>"ITAÚ MATRIZ"</formula>
    </cfRule>
    <cfRule type="cellIs" dxfId="3328" priority="6452" operator="equal">
      <formula>"ITAÚ"</formula>
    </cfRule>
    <cfRule type="cellIs" dxfId="3327" priority="6451" operator="between">
      <formula>"ITAÚ MATRIZ"</formula>
      <formula>"ITAÚ MATRIZ"</formula>
    </cfRule>
    <cfRule type="cellIs" dxfId="3326" priority="6450" operator="equal">
      <formula>"ITAÚ MATRIZ"</formula>
    </cfRule>
    <cfRule type="cellIs" dxfId="3325" priority="6449" operator="equal">
      <formula>"ITAÚ"</formula>
    </cfRule>
    <cfRule type="cellIs" dxfId="3324" priority="6448" operator="between">
      <formula>"ITAÚ FILIAL"</formula>
      <formula>"ITAÚ FILIAL"</formula>
    </cfRule>
    <cfRule type="cellIs" dxfId="3323" priority="6447" operator="between">
      <formula>"ITAÚ FILIAL"</formula>
      <formula>"ITAÚ FILIAL"</formula>
    </cfRule>
    <cfRule type="cellIs" dxfId="3322" priority="6446" operator="between">
      <formula>"DAYCOVAL"</formula>
      <formula>"DAYCOVAL"</formula>
    </cfRule>
    <cfRule type="cellIs" dxfId="3321" priority="6445" operator="between">
      <formula>"SAFRA"</formula>
      <formula>"SAFRA"</formula>
    </cfRule>
    <cfRule type="cellIs" dxfId="3320" priority="6444" operator="between">
      <formula>"SAFRA"</formula>
      <formula>"SAFRA"</formula>
    </cfRule>
    <cfRule type="cellIs" dxfId="3319" priority="6443" operator="equal">
      <formula>"ITAÚ"</formula>
    </cfRule>
    <cfRule type="cellIs" dxfId="3318" priority="6442" operator="equal">
      <formula>"ITAÚ"</formula>
    </cfRule>
    <cfRule type="cellIs" dxfId="3317" priority="6441" operator="between">
      <formula>"ITAÚ MATRIZ"</formula>
      <formula>"ITAÚ MATRIZ"</formula>
    </cfRule>
    <cfRule type="cellIs" dxfId="3316" priority="6440" operator="between">
      <formula>"ITAÚ FILIAL"</formula>
      <formula>"ITAÚ FILIAL"</formula>
    </cfRule>
    <cfRule type="cellIs" dxfId="3315" priority="6439" operator="between">
      <formula>"ITAÚ FILIAL"</formula>
      <formula>"ITAÚ FILIAL"</formula>
    </cfRule>
    <cfRule type="cellIs" dxfId="3314" priority="6438" operator="between">
      <formula>"DAYCOVAL"</formula>
      <formula>"DAYCOVAL"</formula>
    </cfRule>
    <cfRule type="cellIs" dxfId="3313" priority="6437" operator="between">
      <formula>"SAFRA"</formula>
      <formula>"SAFRA"</formula>
    </cfRule>
    <cfRule type="cellIs" dxfId="3312" priority="6436" operator="between">
      <formula>"SAFRA"</formula>
      <formula>"SAFRA"</formula>
    </cfRule>
    <cfRule type="cellIs" dxfId="3311" priority="6435" operator="equal">
      <formula>"ITAÚ MATRIZ"</formula>
    </cfRule>
    <cfRule type="cellIs" dxfId="3310" priority="6434" operator="equal">
      <formula>"ITAÚ"</formula>
    </cfRule>
    <cfRule type="cellIs" dxfId="3309" priority="6433" operator="equal">
      <formula>"ITAÚ"</formula>
    </cfRule>
    <cfRule type="cellIs" dxfId="3308" priority="6432" operator="between">
      <formula>"ITAÚ MATRIZ"</formula>
      <formula>"ITAÚ MATRIZ"</formula>
    </cfRule>
    <cfRule type="cellIs" dxfId="3307" priority="6431" operator="between">
      <formula>"ITAÚ FILIAL"</formula>
      <formula>"ITAÚ FILIAL"</formula>
    </cfRule>
    <cfRule type="cellIs" dxfId="3306" priority="6430" operator="between">
      <formula>"ITAÚ FILIAL"</formula>
      <formula>"ITAÚ FILIAL"</formula>
    </cfRule>
    <cfRule type="cellIs" dxfId="3305" priority="6429" operator="between">
      <formula>"DAYCOVAL"</formula>
      <formula>"DAYCOVAL"</formula>
    </cfRule>
    <cfRule type="cellIs" dxfId="3304" priority="6428" operator="between">
      <formula>"SAFRA"</formula>
      <formula>"SAFRA"</formula>
    </cfRule>
    <cfRule type="cellIs" dxfId="3303" priority="6427" operator="between">
      <formula>"SAFRA"</formula>
      <formula>"SAFRA"</formula>
    </cfRule>
    <cfRule type="cellIs" dxfId="3302" priority="6426" operator="equal">
      <formula>"ITAÚ MATRIZ"</formula>
    </cfRule>
    <cfRule type="cellIs" dxfId="3301" priority="6425" operator="equal">
      <formula>"ITAÚ"</formula>
    </cfRule>
    <cfRule type="cellIs" dxfId="3300" priority="6424" operator="equal">
      <formula>"ITAÚ"</formula>
    </cfRule>
    <cfRule type="cellIs" dxfId="3299" priority="6423" operator="between">
      <formula>"ITAÚ MATRIZ"</formula>
      <formula>"ITAÚ MATRIZ"</formula>
    </cfRule>
    <cfRule type="cellIs" dxfId="3298" priority="6422" operator="between">
      <formula>"ITAÚ FILIAL"</formula>
      <formula>"ITAÚ FILIAL"</formula>
    </cfRule>
    <cfRule type="cellIs" dxfId="3297" priority="6421" operator="between">
      <formula>"ITAÚ FILIAL"</formula>
      <formula>"ITAÚ FILIAL"</formula>
    </cfRule>
    <cfRule type="cellIs" dxfId="3296" priority="6420" operator="between">
      <formula>"DAYCOVAL"</formula>
      <formula>"DAYCOVAL"</formula>
    </cfRule>
    <cfRule type="cellIs" dxfId="3295" priority="6419" operator="between">
      <formula>"SAFRA"</formula>
      <formula>"SAFRA"</formula>
    </cfRule>
    <cfRule type="cellIs" dxfId="3294" priority="6418" operator="between">
      <formula>"SAFRA"</formula>
      <formula>"SAFRA"</formula>
    </cfRule>
    <cfRule type="cellIs" dxfId="3293" priority="6417" operator="equal">
      <formula>"ITAÚ MATRIZ"</formula>
    </cfRule>
    <cfRule type="cellIs" dxfId="3292" priority="6416" operator="equal">
      <formula>"ITAÚ"</formula>
    </cfRule>
    <cfRule type="cellIs" dxfId="3291" priority="6415" operator="equal">
      <formula>"ITAÚ"</formula>
    </cfRule>
    <cfRule type="cellIs" dxfId="3290" priority="6414" operator="between">
      <formula>"ITAÚ MATRIZ"</formula>
      <formula>"ITAÚ MATRIZ"</formula>
    </cfRule>
    <cfRule type="cellIs" dxfId="3289" priority="6413" operator="between">
      <formula>"ITAÚ FILIAL"</formula>
      <formula>"ITAÚ FILIAL"</formula>
    </cfRule>
    <cfRule type="cellIs" dxfId="3288" priority="6412" operator="between">
      <formula>"ITAÚ FILIAL"</formula>
      <formula>"ITAÚ FILIAL"</formula>
    </cfRule>
    <cfRule type="cellIs" dxfId="3287" priority="6411" operator="between">
      <formula>"DAYCOVAL"</formula>
      <formula>"DAYCOVAL"</formula>
    </cfRule>
    <cfRule type="cellIs" dxfId="3286" priority="6410" operator="between">
      <formula>"SAFRA"</formula>
      <formula>"SAFRA"</formula>
    </cfRule>
    <cfRule type="cellIs" dxfId="3285" priority="6409" operator="between">
      <formula>"SAFRA"</formula>
      <formula>"SAFRA"</formula>
    </cfRule>
    <cfRule type="cellIs" dxfId="3284" priority="6408" operator="equal">
      <formula>"ITAÚ MATRIZ"</formula>
    </cfRule>
    <cfRule type="cellIs" dxfId="3283" priority="6407" operator="equal">
      <formula>"ITAÚ"</formula>
    </cfRule>
    <cfRule type="cellIs" dxfId="3282" priority="6406" operator="equal">
      <formula>"ITAÚ"</formula>
    </cfRule>
    <cfRule type="cellIs" dxfId="3281" priority="6405" operator="between">
      <formula>"ITAÚ MATRIZ"</formula>
      <formula>"ITAÚ MATRIZ"</formula>
    </cfRule>
    <cfRule type="cellIs" dxfId="3280" priority="6404" operator="between">
      <formula>"ITAÚ FILIAL"</formula>
      <formula>"ITAÚ FILIAL"</formula>
    </cfRule>
    <cfRule type="cellIs" dxfId="3279" priority="6403" operator="between">
      <formula>"ITAÚ FILIAL"</formula>
      <formula>"ITAÚ FILIAL"</formula>
    </cfRule>
    <cfRule type="cellIs" dxfId="3278" priority="6402" operator="between">
      <formula>"DAYCOVAL"</formula>
      <formula>"DAYCOVAL"</formula>
    </cfRule>
    <cfRule type="cellIs" dxfId="3277" priority="6401" operator="between">
      <formula>"SAFRA"</formula>
      <formula>"SAFRA"</formula>
    </cfRule>
    <cfRule type="cellIs" dxfId="3276" priority="6400" operator="between">
      <formula>"SAFRA"</formula>
      <formula>"SAFRA"</formula>
    </cfRule>
    <cfRule type="cellIs" dxfId="3275" priority="6399" operator="equal">
      <formula>"ITAÚ MATRIZ"</formula>
    </cfRule>
    <cfRule type="cellIs" dxfId="3274" priority="6398" operator="equal">
      <formula>"ITAÚ"</formula>
    </cfRule>
    <cfRule type="cellIs" dxfId="3273" priority="6397" operator="between">
      <formula>"ITAÚ MATRIZ"</formula>
      <formula>"ITAÚ MATRIZ"</formula>
    </cfRule>
    <cfRule type="cellIs" dxfId="3272" priority="6396" operator="equal">
      <formula>"ITAÚ MATRIZ"</formula>
    </cfRule>
    <cfRule type="cellIs" dxfId="3271" priority="6395" operator="equal">
      <formula>"ITAÚ"</formula>
    </cfRule>
    <cfRule type="cellIs" dxfId="3270" priority="6394" operator="between">
      <formula>"ITAÚ FILIAL"</formula>
      <formula>"ITAÚ FILIAL"</formula>
    </cfRule>
    <cfRule type="cellIs" dxfId="3269" priority="6393" operator="between">
      <formula>"ITAÚ FILIAL"</formula>
      <formula>"ITAÚ FILIAL"</formula>
    </cfRule>
    <cfRule type="cellIs" dxfId="3268" priority="6392" operator="between">
      <formula>"DAYCOVAL"</formula>
      <formula>"DAYCOVAL"</formula>
    </cfRule>
    <cfRule type="cellIs" dxfId="3267" priority="6391" operator="between">
      <formula>"SAFRA"</formula>
      <formula>"SAFRA"</formula>
    </cfRule>
    <cfRule type="cellIs" dxfId="3266" priority="6390" operator="between">
      <formula>"SAFRA"</formula>
      <formula>"SAFRA"</formula>
    </cfRule>
    <cfRule type="cellIs" dxfId="3265" priority="6389" operator="equal">
      <formula>"ITAÚ"</formula>
    </cfRule>
    <cfRule type="cellIs" dxfId="3264" priority="6388" operator="equal">
      <formula>"ITAÚ"</formula>
    </cfRule>
    <cfRule type="cellIs" dxfId="3263" priority="6387" operator="between">
      <formula>"ITAÚ MATRIZ"</formula>
      <formula>"ITAÚ MATRIZ"</formula>
    </cfRule>
    <cfRule type="cellIs" dxfId="3262" priority="6386" operator="between">
      <formula>"ITAÚ FILIAL"</formula>
      <formula>"ITAÚ FILIAL"</formula>
    </cfRule>
    <cfRule type="cellIs" dxfId="3261" priority="6474" operator="between">
      <formula>"DAYCOVAL"</formula>
      <formula>"DAYCOVAL"</formula>
    </cfRule>
  </conditionalFormatting>
  <conditionalFormatting sqref="I254:I259">
    <cfRule type="cellIs" dxfId="3260" priority="6350" operator="equal">
      <formula>"ITAÚ"</formula>
    </cfRule>
    <cfRule type="cellIs" dxfId="3259" priority="6347" operator="equal">
      <formula>"ITAÚ"</formula>
    </cfRule>
    <cfRule type="cellIs" dxfId="3258" priority="6344" operator="between">
      <formula>"DAYCOVAL"</formula>
      <formula>"DAYCOVAL"</formula>
    </cfRule>
    <cfRule type="cellIs" dxfId="3257" priority="6348" operator="equal">
      <formula>"ITAÚ MATRIZ"</formula>
    </cfRule>
    <cfRule type="cellIs" dxfId="3256" priority="6343" operator="between">
      <formula>"SAFRA"</formula>
      <formula>"SAFRA"</formula>
    </cfRule>
    <cfRule type="cellIs" dxfId="3255" priority="6342" operator="between">
      <formula>"SAFRA"</formula>
      <formula>"SAFRA"</formula>
    </cfRule>
  </conditionalFormatting>
  <conditionalFormatting sqref="I258">
    <cfRule type="cellIs" dxfId="3254" priority="6159" operator="between">
      <formula>"ITAÚ MATRIZ"</formula>
      <formula>"ITAÚ MATRIZ"</formula>
    </cfRule>
    <cfRule type="cellIs" dxfId="3253" priority="6160" operator="equal">
      <formula>"ITAÚ"</formula>
    </cfRule>
    <cfRule type="cellIs" dxfId="3252" priority="6349" operator="between">
      <formula>"ITAÚ MATRIZ"</formula>
      <formula>"ITAÚ MATRIZ"</formula>
    </cfRule>
    <cfRule type="cellIs" dxfId="3251" priority="6157" operator="between">
      <formula>"ITAÚ FILIAL"</formula>
      <formula>"ITAÚ FILIAL"</formula>
    </cfRule>
    <cfRule type="cellIs" dxfId="3250" priority="6156" operator="between">
      <formula>"DAYCOVAL"</formula>
      <formula>"DAYCOVAL"</formula>
    </cfRule>
    <cfRule type="cellIs" dxfId="3249" priority="6346" operator="between">
      <formula>"ITAÚ FILIAL"</formula>
      <formula>"ITAÚ FILIAL"</formula>
    </cfRule>
    <cfRule type="cellIs" dxfId="3248" priority="6345" operator="between">
      <formula>"ITAÚ FILIAL"</formula>
      <formula>"ITAÚ FILIAL"</formula>
    </cfRule>
    <cfRule type="cellIs" dxfId="3247" priority="6155" operator="between">
      <formula>"SAFRA"</formula>
      <formula>"SAFRA"</formula>
    </cfRule>
    <cfRule type="cellIs" dxfId="3246" priority="6154" operator="between">
      <formula>"SAFRA"</formula>
      <formula>"SAFRA"</formula>
    </cfRule>
    <cfRule type="cellIs" dxfId="3245" priority="6153" operator="equal">
      <formula>"ITAÚ MATRIZ"</formula>
    </cfRule>
    <cfRule type="cellIs" dxfId="3244" priority="6341" operator="equal">
      <formula>"ITAÚ"</formula>
    </cfRule>
    <cfRule type="cellIs" dxfId="3243" priority="6340" operator="between">
      <formula>"ITAÚ MATRIZ"</formula>
      <formula>"ITAÚ MATRIZ"</formula>
    </cfRule>
    <cfRule type="cellIs" dxfId="3242" priority="6339" operator="equal">
      <formula>"ITAÚ MATRIZ"</formula>
    </cfRule>
    <cfRule type="cellIs" dxfId="3241" priority="6338" operator="equal">
      <formula>"ITAÚ"</formula>
    </cfRule>
    <cfRule type="cellIs" dxfId="3240" priority="6337" operator="between">
      <formula>"ITAÚ FILIAL"</formula>
      <formula>"ITAÚ FILIAL"</formula>
    </cfRule>
    <cfRule type="cellIs" dxfId="3239" priority="6336" operator="between">
      <formula>"ITAÚ FILIAL"</formula>
      <formula>"ITAÚ FILIAL"</formula>
    </cfRule>
    <cfRule type="cellIs" dxfId="3238" priority="6335" operator="between">
      <formula>"DAYCOVAL"</formula>
      <formula>"DAYCOVAL"</formula>
    </cfRule>
    <cfRule type="cellIs" dxfId="3237" priority="6334" operator="between">
      <formula>"SAFRA"</formula>
      <formula>"SAFRA"</formula>
    </cfRule>
    <cfRule type="cellIs" dxfId="3236" priority="6333" operator="between">
      <formula>"SAFRA"</formula>
      <formula>"SAFRA"</formula>
    </cfRule>
    <cfRule type="cellIs" dxfId="3235" priority="6332" operator="equal">
      <formula>"ITAÚ"</formula>
    </cfRule>
    <cfRule type="cellIs" dxfId="3234" priority="6331" operator="equal">
      <formula>"ITAÚ"</formula>
    </cfRule>
    <cfRule type="cellIs" dxfId="3233" priority="6330" operator="between">
      <formula>"ITAÚ MATRIZ"</formula>
      <formula>"ITAÚ MATRIZ"</formula>
    </cfRule>
    <cfRule type="cellIs" dxfId="3232" priority="6329" operator="between">
      <formula>"ITAÚ FILIAL"</formula>
      <formula>"ITAÚ FILIAL"</formula>
    </cfRule>
    <cfRule type="cellIs" dxfId="3231" priority="6328" operator="between">
      <formula>"ITAÚ FILIAL"</formula>
      <formula>"ITAÚ FILIAL"</formula>
    </cfRule>
    <cfRule type="cellIs" dxfId="3230" priority="6327" operator="between">
      <formula>"DAYCOVAL"</formula>
      <formula>"DAYCOVAL"</formula>
    </cfRule>
    <cfRule type="cellIs" dxfId="3229" priority="6326" operator="between">
      <formula>"SAFRA"</formula>
      <formula>"SAFRA"</formula>
    </cfRule>
    <cfRule type="cellIs" dxfId="3228" priority="6325" operator="between">
      <formula>"SAFRA"</formula>
      <formula>"SAFRA"</formula>
    </cfRule>
    <cfRule type="cellIs" dxfId="3227" priority="6324" operator="equal">
      <formula>"ITAÚ MATRIZ"</formula>
    </cfRule>
    <cfRule type="cellIs" dxfId="3226" priority="6323" operator="equal">
      <formula>"ITAÚ"</formula>
    </cfRule>
    <cfRule type="cellIs" dxfId="3225" priority="6322" operator="between">
      <formula>"ITAÚ MATRIZ"</formula>
      <formula>"ITAÚ MATRIZ"</formula>
    </cfRule>
    <cfRule type="cellIs" dxfId="3224" priority="6321" operator="equal">
      <formula>"ITAÚ MATRIZ"</formula>
    </cfRule>
    <cfRule type="cellIs" dxfId="3223" priority="6320" operator="equal">
      <formula>"ITAÚ"</formula>
    </cfRule>
    <cfRule type="cellIs" dxfId="3222" priority="6319" operator="between">
      <formula>"ITAÚ FILIAL"</formula>
      <formula>"ITAÚ FILIAL"</formula>
    </cfRule>
    <cfRule type="cellIs" dxfId="3221" priority="6318" operator="between">
      <formula>"ITAÚ FILIAL"</formula>
      <formula>"ITAÚ FILIAL"</formula>
    </cfRule>
    <cfRule type="cellIs" dxfId="3220" priority="6317" operator="between">
      <formula>"DAYCOVAL"</formula>
      <formula>"DAYCOVAL"</formula>
    </cfRule>
    <cfRule type="cellIs" dxfId="3219" priority="6316" operator="between">
      <formula>"SAFRA"</formula>
      <formula>"SAFRA"</formula>
    </cfRule>
    <cfRule type="cellIs" dxfId="3218" priority="6315" operator="between">
      <formula>"SAFRA"</formula>
      <formula>"SAFRA"</formula>
    </cfRule>
    <cfRule type="cellIs" dxfId="3217" priority="6314" operator="equal">
      <formula>"ITAÚ"</formula>
    </cfRule>
    <cfRule type="cellIs" dxfId="3216" priority="6313" operator="equal">
      <formula>"ITAÚ"</formula>
    </cfRule>
    <cfRule type="cellIs" dxfId="3215" priority="6312" operator="between">
      <formula>"ITAÚ MATRIZ"</formula>
      <formula>"ITAÚ MATRIZ"</formula>
    </cfRule>
    <cfRule type="cellIs" dxfId="3214" priority="6311" operator="between">
      <formula>"ITAÚ FILIAL"</formula>
      <formula>"ITAÚ FILIAL"</formula>
    </cfRule>
    <cfRule type="cellIs" dxfId="3213" priority="6310" operator="between">
      <formula>"ITAÚ FILIAL"</formula>
      <formula>"ITAÚ FILIAL"</formula>
    </cfRule>
    <cfRule type="cellIs" dxfId="3212" priority="6309" operator="between">
      <formula>"DAYCOVAL"</formula>
      <formula>"DAYCOVAL"</formula>
    </cfRule>
    <cfRule type="cellIs" dxfId="3211" priority="6308" operator="between">
      <formula>"SAFRA"</formula>
      <formula>"SAFRA"</formula>
    </cfRule>
    <cfRule type="cellIs" dxfId="3210" priority="6307" operator="between">
      <formula>"SAFRA"</formula>
      <formula>"SAFRA"</formula>
    </cfRule>
    <cfRule type="cellIs" dxfId="3209" priority="6306" operator="equal">
      <formula>"ITAÚ MATRIZ"</formula>
    </cfRule>
    <cfRule type="cellIs" dxfId="3208" priority="6305" operator="equal">
      <formula>"ITAÚ"</formula>
    </cfRule>
    <cfRule type="cellIs" dxfId="3207" priority="6304" operator="between">
      <formula>"ITAÚ MATRIZ"</formula>
      <formula>"ITAÚ MATRIZ"</formula>
    </cfRule>
    <cfRule type="cellIs" dxfId="3206" priority="6303" operator="equal">
      <formula>"ITAÚ MATRIZ"</formula>
    </cfRule>
    <cfRule type="cellIs" dxfId="3205" priority="6302" operator="equal">
      <formula>"ITAÚ"</formula>
    </cfRule>
    <cfRule type="cellIs" dxfId="3204" priority="6301" operator="between">
      <formula>"ITAÚ FILIAL"</formula>
      <formula>"ITAÚ FILIAL"</formula>
    </cfRule>
    <cfRule type="cellIs" dxfId="3203" priority="6300" operator="between">
      <formula>"ITAÚ FILIAL"</formula>
      <formula>"ITAÚ FILIAL"</formula>
    </cfRule>
    <cfRule type="cellIs" dxfId="3202" priority="6299" operator="between">
      <formula>"DAYCOVAL"</formula>
      <formula>"DAYCOVAL"</formula>
    </cfRule>
    <cfRule type="cellIs" dxfId="3201" priority="6298" operator="between">
      <formula>"SAFRA"</formula>
      <formula>"SAFRA"</formula>
    </cfRule>
    <cfRule type="cellIs" dxfId="3200" priority="6297" operator="between">
      <formula>"SAFRA"</formula>
      <formula>"SAFRA"</formula>
    </cfRule>
    <cfRule type="cellIs" dxfId="3199" priority="6296" operator="equal">
      <formula>"ITAÚ"</formula>
    </cfRule>
    <cfRule type="cellIs" dxfId="3198" priority="6295" operator="equal">
      <formula>"ITAÚ"</formula>
    </cfRule>
    <cfRule type="cellIs" dxfId="3197" priority="6294" operator="between">
      <formula>"ITAÚ MATRIZ"</formula>
      <formula>"ITAÚ MATRIZ"</formula>
    </cfRule>
    <cfRule type="cellIs" dxfId="3196" priority="6293" operator="between">
      <formula>"ITAÚ FILIAL"</formula>
      <formula>"ITAÚ FILIAL"</formula>
    </cfRule>
    <cfRule type="cellIs" dxfId="3195" priority="6292" operator="between">
      <formula>"ITAÚ FILIAL"</formula>
      <formula>"ITAÚ FILIAL"</formula>
    </cfRule>
    <cfRule type="cellIs" dxfId="3194" priority="6291" operator="between">
      <formula>"DAYCOVAL"</formula>
      <formula>"DAYCOVAL"</formula>
    </cfRule>
    <cfRule type="cellIs" dxfId="3193" priority="6290" operator="between">
      <formula>"SAFRA"</formula>
      <formula>"SAFRA"</formula>
    </cfRule>
    <cfRule type="cellIs" dxfId="3192" priority="6289" operator="between">
      <formula>"SAFRA"</formula>
      <formula>"SAFRA"</formula>
    </cfRule>
    <cfRule type="cellIs" dxfId="3191" priority="6288" operator="equal">
      <formula>"ITAÚ MATRIZ"</formula>
    </cfRule>
    <cfRule type="cellIs" dxfId="3190" priority="6287" operator="equal">
      <formula>"ITAÚ"</formula>
    </cfRule>
    <cfRule type="cellIs" dxfId="3189" priority="6286" operator="equal">
      <formula>"ITAÚ"</formula>
    </cfRule>
    <cfRule type="cellIs" dxfId="3188" priority="6285" operator="between">
      <formula>"ITAÚ MATRIZ"</formula>
      <formula>"ITAÚ MATRIZ"</formula>
    </cfRule>
    <cfRule type="cellIs" dxfId="3187" priority="6284" operator="between">
      <formula>"ITAÚ FILIAL"</formula>
      <formula>"ITAÚ FILIAL"</formula>
    </cfRule>
    <cfRule type="cellIs" dxfId="3186" priority="6283" operator="between">
      <formula>"ITAÚ FILIAL"</formula>
      <formula>"ITAÚ FILIAL"</formula>
    </cfRule>
    <cfRule type="cellIs" dxfId="3185" priority="6282" operator="between">
      <formula>"DAYCOVAL"</formula>
      <formula>"DAYCOVAL"</formula>
    </cfRule>
    <cfRule type="cellIs" dxfId="3184" priority="6281" operator="between">
      <formula>"SAFRA"</formula>
      <formula>"SAFRA"</formula>
    </cfRule>
    <cfRule type="cellIs" dxfId="3183" priority="6280" operator="between">
      <formula>"SAFRA"</formula>
      <formula>"SAFRA"</formula>
    </cfRule>
    <cfRule type="cellIs" dxfId="3182" priority="6279" operator="equal">
      <formula>"ITAÚ MATRIZ"</formula>
    </cfRule>
    <cfRule type="cellIs" dxfId="3181" priority="6278" operator="equal">
      <formula>"ITAÚ"</formula>
    </cfRule>
    <cfRule type="cellIs" dxfId="3180" priority="6277" operator="equal">
      <formula>"ITAÚ"</formula>
    </cfRule>
    <cfRule type="cellIs" dxfId="3179" priority="6276" operator="between">
      <formula>"ITAÚ MATRIZ"</formula>
      <formula>"ITAÚ MATRIZ"</formula>
    </cfRule>
    <cfRule type="cellIs" dxfId="3178" priority="6275" operator="between">
      <formula>"ITAÚ FILIAL"</formula>
      <formula>"ITAÚ FILIAL"</formula>
    </cfRule>
    <cfRule type="cellIs" dxfId="3177" priority="6274" operator="between">
      <formula>"ITAÚ FILIAL"</formula>
      <formula>"ITAÚ FILIAL"</formula>
    </cfRule>
    <cfRule type="cellIs" dxfId="3176" priority="6273" operator="between">
      <formula>"DAYCOVAL"</formula>
      <formula>"DAYCOVAL"</formula>
    </cfRule>
    <cfRule type="cellIs" dxfId="3175" priority="6272" operator="between">
      <formula>"SAFRA"</formula>
      <formula>"SAFRA"</formula>
    </cfRule>
    <cfRule type="cellIs" dxfId="3174" priority="6271" operator="between">
      <formula>"SAFRA"</formula>
      <formula>"SAFRA"</formula>
    </cfRule>
    <cfRule type="cellIs" dxfId="3173" priority="6270" operator="equal">
      <formula>"ITAÚ MATRIZ"</formula>
    </cfRule>
    <cfRule type="cellIs" dxfId="3172" priority="6269" operator="equal">
      <formula>"ITAÚ"</formula>
    </cfRule>
    <cfRule type="cellIs" dxfId="3171" priority="6268" operator="equal">
      <formula>"ITAÚ"</formula>
    </cfRule>
    <cfRule type="cellIs" dxfId="3170" priority="6267" operator="between">
      <formula>"ITAÚ MATRIZ"</formula>
      <formula>"ITAÚ MATRIZ"</formula>
    </cfRule>
    <cfRule type="cellIs" dxfId="3169" priority="6266" operator="between">
      <formula>"ITAÚ FILIAL"</formula>
      <formula>"ITAÚ FILIAL"</formula>
    </cfRule>
    <cfRule type="cellIs" dxfId="3168" priority="6265" operator="between">
      <formula>"ITAÚ FILIAL"</formula>
      <formula>"ITAÚ FILIAL"</formula>
    </cfRule>
    <cfRule type="cellIs" dxfId="3167" priority="6264" operator="between">
      <formula>"DAYCOVAL"</formula>
      <formula>"DAYCOVAL"</formula>
    </cfRule>
    <cfRule type="cellIs" dxfId="3166" priority="6263" operator="between">
      <formula>"SAFRA"</formula>
      <formula>"SAFRA"</formula>
    </cfRule>
    <cfRule type="cellIs" dxfId="3165" priority="6262" operator="between">
      <formula>"SAFRA"</formula>
      <formula>"SAFRA"</formula>
    </cfRule>
    <cfRule type="cellIs" dxfId="3164" priority="6261" operator="equal">
      <formula>"ITAÚ MATRIZ"</formula>
    </cfRule>
    <cfRule type="cellIs" dxfId="3163" priority="6260" operator="equal">
      <formula>"ITAÚ"</formula>
    </cfRule>
    <cfRule type="cellIs" dxfId="3162" priority="6259" operator="equal">
      <formula>"ITAÚ"</formula>
    </cfRule>
    <cfRule type="cellIs" dxfId="3161" priority="6258" operator="between">
      <formula>"ITAÚ MATRIZ"</formula>
      <formula>"ITAÚ MATRIZ"</formula>
    </cfRule>
    <cfRule type="cellIs" dxfId="3160" priority="6257" operator="between">
      <formula>"ITAÚ FILIAL"</formula>
      <formula>"ITAÚ FILIAL"</formula>
    </cfRule>
    <cfRule type="cellIs" dxfId="3159" priority="6256" operator="between">
      <formula>"ITAÚ FILIAL"</formula>
      <formula>"ITAÚ FILIAL"</formula>
    </cfRule>
    <cfRule type="cellIs" dxfId="3158" priority="6254" operator="between">
      <formula>"SAFRA"</formula>
      <formula>"SAFRA"</formula>
    </cfRule>
    <cfRule type="cellIs" dxfId="3157" priority="6158" operator="between">
      <formula>"ITAÚ FILIAL"</formula>
      <formula>"ITAÚ FILIAL"</formula>
    </cfRule>
    <cfRule type="cellIs" dxfId="3156" priority="6253" operator="between">
      <formula>"SAFRA"</formula>
      <formula>"SAFRA"</formula>
    </cfRule>
    <cfRule type="cellIs" dxfId="3155" priority="6252" operator="equal">
      <formula>"ITAÚ MATRIZ"</formula>
    </cfRule>
    <cfRule type="cellIs" dxfId="3154" priority="6251" operator="equal">
      <formula>"ITAÚ"</formula>
    </cfRule>
    <cfRule type="cellIs" dxfId="3153" priority="6250" operator="between">
      <formula>"ITAÚ MATRIZ"</formula>
      <formula>"ITAÚ MATRIZ"</formula>
    </cfRule>
    <cfRule type="cellIs" dxfId="3152" priority="6249" operator="equal">
      <formula>"ITAÚ MATRIZ"</formula>
    </cfRule>
    <cfRule type="cellIs" dxfId="3151" priority="6248" operator="equal">
      <formula>"ITAÚ"</formula>
    </cfRule>
    <cfRule type="cellIs" dxfId="3150" priority="6247" operator="between">
      <formula>"ITAÚ FILIAL"</formula>
      <formula>"ITAÚ FILIAL"</formula>
    </cfRule>
    <cfRule type="cellIs" dxfId="3149" priority="6246" operator="between">
      <formula>"ITAÚ FILIAL"</formula>
      <formula>"ITAÚ FILIAL"</formula>
    </cfRule>
    <cfRule type="cellIs" dxfId="3148" priority="6245" operator="between">
      <formula>"DAYCOVAL"</formula>
      <formula>"DAYCOVAL"</formula>
    </cfRule>
    <cfRule type="cellIs" dxfId="3147" priority="6244" operator="between">
      <formula>"SAFRA"</formula>
      <formula>"SAFRA"</formula>
    </cfRule>
    <cfRule type="cellIs" dxfId="3146" priority="6243" operator="between">
      <formula>"SAFRA"</formula>
      <formula>"SAFRA"</formula>
    </cfRule>
    <cfRule type="cellIs" dxfId="3145" priority="6242" operator="equal">
      <formula>"ITAÚ"</formula>
    </cfRule>
    <cfRule type="cellIs" dxfId="3144" priority="6241" operator="equal">
      <formula>"ITAÚ"</formula>
    </cfRule>
    <cfRule type="cellIs" dxfId="3143" priority="6240" operator="between">
      <formula>"ITAÚ MATRIZ"</formula>
      <formula>"ITAÚ MATRIZ"</formula>
    </cfRule>
    <cfRule type="cellIs" dxfId="3142" priority="6239" operator="between">
      <formula>"ITAÚ FILIAL"</formula>
      <formula>"ITAÚ FILIAL"</formula>
    </cfRule>
    <cfRule type="cellIs" dxfId="3141" priority="6238" operator="between">
      <formula>"ITAÚ FILIAL"</formula>
      <formula>"ITAÚ FILIAL"</formula>
    </cfRule>
    <cfRule type="cellIs" dxfId="3140" priority="6237" operator="between">
      <formula>"DAYCOVAL"</formula>
      <formula>"DAYCOVAL"</formula>
    </cfRule>
    <cfRule type="cellIs" dxfId="3139" priority="6236" operator="between">
      <formula>"SAFRA"</formula>
      <formula>"SAFRA"</formula>
    </cfRule>
    <cfRule type="cellIs" dxfId="3138" priority="6235" operator="between">
      <formula>"SAFRA"</formula>
      <formula>"SAFRA"</formula>
    </cfRule>
    <cfRule type="cellIs" dxfId="3137" priority="6234" operator="equal">
      <formula>"ITAÚ MATRIZ"</formula>
    </cfRule>
    <cfRule type="cellIs" dxfId="3136" priority="6233" operator="equal">
      <formula>"ITAÚ"</formula>
    </cfRule>
    <cfRule type="cellIs" dxfId="3135" priority="6232" operator="between">
      <formula>"ITAÚ MATRIZ"</formula>
      <formula>"ITAÚ MATRIZ"</formula>
    </cfRule>
    <cfRule type="cellIs" dxfId="3134" priority="6231" operator="equal">
      <formula>"ITAÚ MATRIZ"</formula>
    </cfRule>
    <cfRule type="cellIs" dxfId="3133" priority="6230" operator="equal">
      <formula>"ITAÚ"</formula>
    </cfRule>
    <cfRule type="cellIs" dxfId="3132" priority="6229" operator="between">
      <formula>"ITAÚ FILIAL"</formula>
      <formula>"ITAÚ FILIAL"</formula>
    </cfRule>
    <cfRule type="cellIs" dxfId="3131" priority="6228" operator="between">
      <formula>"ITAÚ FILIAL"</formula>
      <formula>"ITAÚ FILIAL"</formula>
    </cfRule>
    <cfRule type="cellIs" dxfId="3130" priority="6227" operator="between">
      <formula>"DAYCOVAL"</formula>
      <formula>"DAYCOVAL"</formula>
    </cfRule>
    <cfRule type="cellIs" dxfId="3129" priority="6226" operator="between">
      <formula>"SAFRA"</formula>
      <formula>"SAFRA"</formula>
    </cfRule>
    <cfRule type="cellIs" dxfId="3128" priority="6225" operator="between">
      <formula>"SAFRA"</formula>
      <formula>"SAFRA"</formula>
    </cfRule>
    <cfRule type="cellIs" dxfId="3127" priority="6224" operator="equal">
      <formula>"ITAÚ"</formula>
    </cfRule>
    <cfRule type="cellIs" dxfId="3126" priority="6223" operator="equal">
      <formula>"ITAÚ"</formula>
    </cfRule>
    <cfRule type="cellIs" dxfId="3125" priority="6222" operator="between">
      <formula>"ITAÚ MATRIZ"</formula>
      <formula>"ITAÚ MATRIZ"</formula>
    </cfRule>
    <cfRule type="cellIs" dxfId="3124" priority="6221" operator="between">
      <formula>"ITAÚ FILIAL"</formula>
      <formula>"ITAÚ FILIAL"</formula>
    </cfRule>
    <cfRule type="cellIs" dxfId="3123" priority="6220" operator="between">
      <formula>"ITAÚ FILIAL"</formula>
      <formula>"ITAÚ FILIAL"</formula>
    </cfRule>
    <cfRule type="cellIs" dxfId="3122" priority="6219" operator="between">
      <formula>"DAYCOVAL"</formula>
      <formula>"DAYCOVAL"</formula>
    </cfRule>
    <cfRule type="cellIs" dxfId="3121" priority="6218" operator="between">
      <formula>"SAFRA"</formula>
      <formula>"SAFRA"</formula>
    </cfRule>
    <cfRule type="cellIs" dxfId="3120" priority="6217" operator="between">
      <formula>"SAFRA"</formula>
      <formula>"SAFRA"</formula>
    </cfRule>
    <cfRule type="cellIs" dxfId="3119" priority="6216" operator="equal">
      <formula>"ITAÚ MATRIZ"</formula>
    </cfRule>
    <cfRule type="cellIs" dxfId="3118" priority="6215" operator="equal">
      <formula>"ITAÚ"</formula>
    </cfRule>
    <cfRule type="cellIs" dxfId="3117" priority="6214" operator="equal">
      <formula>"ITAÚ"</formula>
    </cfRule>
    <cfRule type="cellIs" dxfId="3116" priority="6213" operator="between">
      <formula>"ITAÚ MATRIZ"</formula>
      <formula>"ITAÚ MATRIZ"</formula>
    </cfRule>
    <cfRule type="cellIs" dxfId="3115" priority="6212" operator="between">
      <formula>"ITAÚ FILIAL"</formula>
      <formula>"ITAÚ FILIAL"</formula>
    </cfRule>
    <cfRule type="cellIs" dxfId="3114" priority="6211" operator="between">
      <formula>"ITAÚ FILIAL"</formula>
      <formula>"ITAÚ FILIAL"</formula>
    </cfRule>
    <cfRule type="cellIs" dxfId="3113" priority="6210" operator="between">
      <formula>"DAYCOVAL"</formula>
      <formula>"DAYCOVAL"</formula>
    </cfRule>
    <cfRule type="cellIs" dxfId="3112" priority="6209" operator="between">
      <formula>"SAFRA"</formula>
      <formula>"SAFRA"</formula>
    </cfRule>
    <cfRule type="cellIs" dxfId="3111" priority="6208" operator="between">
      <formula>"SAFRA"</formula>
      <formula>"SAFRA"</formula>
    </cfRule>
    <cfRule type="cellIs" dxfId="3110" priority="6207" operator="equal">
      <formula>"ITAÚ MATRIZ"</formula>
    </cfRule>
    <cfRule type="cellIs" dxfId="3109" priority="6206" operator="equal">
      <formula>"ITAÚ"</formula>
    </cfRule>
    <cfRule type="cellIs" dxfId="3108" priority="6205" operator="equal">
      <formula>"ITAÚ"</formula>
    </cfRule>
    <cfRule type="cellIs" dxfId="3107" priority="6204" operator="between">
      <formula>"ITAÚ MATRIZ"</formula>
      <formula>"ITAÚ MATRIZ"</formula>
    </cfRule>
    <cfRule type="cellIs" dxfId="3106" priority="6203" operator="between">
      <formula>"ITAÚ FILIAL"</formula>
      <formula>"ITAÚ FILIAL"</formula>
    </cfRule>
    <cfRule type="cellIs" dxfId="3105" priority="6202" operator="between">
      <formula>"ITAÚ FILIAL"</formula>
      <formula>"ITAÚ FILIAL"</formula>
    </cfRule>
    <cfRule type="cellIs" dxfId="3104" priority="6201" operator="between">
      <formula>"DAYCOVAL"</formula>
      <formula>"DAYCOVAL"</formula>
    </cfRule>
    <cfRule type="cellIs" dxfId="3103" priority="6200" operator="between">
      <formula>"SAFRA"</formula>
      <formula>"SAFRA"</formula>
    </cfRule>
    <cfRule type="cellIs" dxfId="3102" priority="6199" operator="between">
      <formula>"SAFRA"</formula>
      <formula>"SAFRA"</formula>
    </cfRule>
    <cfRule type="cellIs" dxfId="3101" priority="6198" operator="equal">
      <formula>"ITAÚ MATRIZ"</formula>
    </cfRule>
    <cfRule type="cellIs" dxfId="3100" priority="6197" operator="equal">
      <formula>"ITAÚ"</formula>
    </cfRule>
    <cfRule type="cellIs" dxfId="3099" priority="6196" operator="equal">
      <formula>"ITAÚ"</formula>
    </cfRule>
    <cfRule type="cellIs" dxfId="3098" priority="6195" operator="between">
      <formula>"ITAÚ MATRIZ"</formula>
      <formula>"ITAÚ MATRIZ"</formula>
    </cfRule>
    <cfRule type="cellIs" dxfId="3097" priority="6194" operator="between">
      <formula>"ITAÚ FILIAL"</formula>
      <formula>"ITAÚ FILIAL"</formula>
    </cfRule>
    <cfRule type="cellIs" dxfId="3096" priority="6193" operator="between">
      <formula>"ITAÚ FILIAL"</formula>
      <formula>"ITAÚ FILIAL"</formula>
    </cfRule>
    <cfRule type="cellIs" dxfId="3095" priority="6192" operator="between">
      <formula>"DAYCOVAL"</formula>
      <formula>"DAYCOVAL"</formula>
    </cfRule>
    <cfRule type="cellIs" dxfId="3094" priority="6191" operator="between">
      <formula>"SAFRA"</formula>
      <formula>"SAFRA"</formula>
    </cfRule>
    <cfRule type="cellIs" dxfId="3093" priority="6190" operator="between">
      <formula>"SAFRA"</formula>
      <formula>"SAFRA"</formula>
    </cfRule>
    <cfRule type="cellIs" dxfId="3092" priority="6189" operator="equal">
      <formula>"ITAÚ MATRIZ"</formula>
    </cfRule>
    <cfRule type="cellIs" dxfId="3091" priority="6188" operator="equal">
      <formula>"ITAÚ"</formula>
    </cfRule>
    <cfRule type="cellIs" dxfId="3090" priority="6187" operator="equal">
      <formula>"ITAÚ"</formula>
    </cfRule>
    <cfRule type="cellIs" dxfId="3089" priority="6186" operator="between">
      <formula>"ITAÚ MATRIZ"</formula>
      <formula>"ITAÚ MATRIZ"</formula>
    </cfRule>
    <cfRule type="cellIs" dxfId="3088" priority="6185" operator="between">
      <formula>"ITAÚ FILIAL"</formula>
      <formula>"ITAÚ FILIAL"</formula>
    </cfRule>
    <cfRule type="cellIs" dxfId="3087" priority="6184" operator="between">
      <formula>"ITAÚ FILIAL"</formula>
      <formula>"ITAÚ FILIAL"</formula>
    </cfRule>
    <cfRule type="cellIs" dxfId="3086" priority="6183" operator="between">
      <formula>"DAYCOVAL"</formula>
      <formula>"DAYCOVAL"</formula>
    </cfRule>
    <cfRule type="cellIs" dxfId="3085" priority="6182" operator="between">
      <formula>"SAFRA"</formula>
      <formula>"SAFRA"</formula>
    </cfRule>
    <cfRule type="cellIs" dxfId="3084" priority="6181" operator="between">
      <formula>"SAFRA"</formula>
      <formula>"SAFRA"</formula>
    </cfRule>
    <cfRule type="cellIs" dxfId="3083" priority="6180" operator="equal">
      <formula>"ITAÚ MATRIZ"</formula>
    </cfRule>
    <cfRule type="cellIs" dxfId="3082" priority="6179" operator="equal">
      <formula>"ITAÚ"</formula>
    </cfRule>
    <cfRule type="cellIs" dxfId="3081" priority="6178" operator="between">
      <formula>"ITAÚ MATRIZ"</formula>
      <formula>"ITAÚ MATRIZ"</formula>
    </cfRule>
    <cfRule type="cellIs" dxfId="3080" priority="6177" operator="equal">
      <formula>"ITAÚ MATRIZ"</formula>
    </cfRule>
    <cfRule type="cellIs" dxfId="3079" priority="6176" operator="equal">
      <formula>"ITAÚ"</formula>
    </cfRule>
    <cfRule type="cellIs" dxfId="3078" priority="6175" operator="between">
      <formula>"ITAÚ FILIAL"</formula>
      <formula>"ITAÚ FILIAL"</formula>
    </cfRule>
    <cfRule type="cellIs" dxfId="3077" priority="6174" operator="between">
      <formula>"ITAÚ FILIAL"</formula>
      <formula>"ITAÚ FILIAL"</formula>
    </cfRule>
    <cfRule type="cellIs" dxfId="3076" priority="6173" operator="between">
      <formula>"DAYCOVAL"</formula>
      <formula>"DAYCOVAL"</formula>
    </cfRule>
    <cfRule type="cellIs" dxfId="3075" priority="6172" operator="between">
      <formula>"SAFRA"</formula>
      <formula>"SAFRA"</formula>
    </cfRule>
    <cfRule type="cellIs" dxfId="3074" priority="6171" operator="between">
      <formula>"SAFRA"</formula>
      <formula>"SAFRA"</formula>
    </cfRule>
    <cfRule type="cellIs" dxfId="3073" priority="6170" operator="equal">
      <formula>"ITAÚ"</formula>
    </cfRule>
    <cfRule type="cellIs" dxfId="3072" priority="6169" operator="equal">
      <formula>"ITAÚ"</formula>
    </cfRule>
    <cfRule type="cellIs" dxfId="3071" priority="6168" operator="between">
      <formula>"ITAÚ MATRIZ"</formula>
      <formula>"ITAÚ MATRIZ"</formula>
    </cfRule>
    <cfRule type="cellIs" dxfId="3070" priority="6167" operator="between">
      <formula>"ITAÚ FILIAL"</formula>
      <formula>"ITAÚ FILIAL"</formula>
    </cfRule>
    <cfRule type="cellIs" dxfId="3069" priority="6166" operator="between">
      <formula>"ITAÚ FILIAL"</formula>
      <formula>"ITAÚ FILIAL"</formula>
    </cfRule>
    <cfRule type="cellIs" dxfId="3068" priority="6165" operator="between">
      <formula>"DAYCOVAL"</formula>
      <formula>"DAYCOVAL"</formula>
    </cfRule>
    <cfRule type="cellIs" dxfId="3067" priority="6164" operator="between">
      <formula>"SAFRA"</formula>
      <formula>"SAFRA"</formula>
    </cfRule>
    <cfRule type="cellIs" dxfId="3066" priority="6163" operator="between">
      <formula>"SAFRA"</formula>
      <formula>"SAFRA"</formula>
    </cfRule>
    <cfRule type="cellIs" dxfId="3065" priority="6162" operator="equal">
      <formula>"ITAÚ MATRIZ"</formula>
    </cfRule>
    <cfRule type="cellIs" dxfId="3064" priority="6161" operator="equal">
      <formula>"ITAÚ"</formula>
    </cfRule>
    <cfRule type="cellIs" dxfId="3063" priority="6255" operator="between">
      <formula>"DAYCOVAL"</formula>
      <formula>"DAYCOVAL"</formula>
    </cfRule>
  </conditionalFormatting>
  <conditionalFormatting sqref="I259 I341:I343 I345:I358 I360:I366 I368:I381 I383:I389 I391:I404 I406:I412 I414:I427 I429:I435 I437:I450 I452:I458 I460:I475 I477:I483 I485:I488">
    <cfRule type="cellIs" dxfId="3062" priority="12509" operator="between">
      <formula>"SAFRA"</formula>
      <formula>"SAFRA"</formula>
    </cfRule>
    <cfRule type="cellIs" dxfId="3061" priority="12511" operator="between">
      <formula>"DAYCOVAL"</formula>
      <formula>"DAYCOVAL"</formula>
    </cfRule>
    <cfRule type="cellIs" dxfId="3060" priority="12491" operator="between">
      <formula>"SAFRA"</formula>
      <formula>"SAFRA"</formula>
    </cfRule>
    <cfRule type="cellIs" dxfId="3059" priority="12490" operator="equal">
      <formula>"ITAÚ MATRIZ"</formula>
    </cfRule>
    <cfRule type="cellIs" dxfId="3058" priority="12487" operator="between">
      <formula>"ITAÚ MATRIZ"</formula>
      <formula>"ITAÚ MATRIZ"</formula>
    </cfRule>
    <cfRule type="cellIs" dxfId="3057" priority="12486" operator="between">
      <formula>"ITAÚ FILIAL"</formula>
      <formula>"ITAÚ FILIAL"</formula>
    </cfRule>
    <cfRule type="cellIs" dxfId="3056" priority="12485" operator="between">
      <formula>"ITAÚ FILIAL"</formula>
      <formula>"ITAÚ FILIAL"</formula>
    </cfRule>
    <cfRule type="cellIs" dxfId="3055" priority="12492" operator="between">
      <formula>"SAFRA"</formula>
      <formula>"SAFRA"</formula>
    </cfRule>
    <cfRule type="cellIs" dxfId="3054" priority="12493" operator="between">
      <formula>"DAYCOVAL"</formula>
      <formula>"DAYCOVAL"</formula>
    </cfRule>
    <cfRule type="cellIs" dxfId="3053" priority="12494" operator="between">
      <formula>"ITAÚ FILIAL"</formula>
      <formula>"ITAÚ FILIAL"</formula>
    </cfRule>
    <cfRule type="cellIs" dxfId="3052" priority="12495" operator="between">
      <formula>"ITAÚ FILIAL"</formula>
      <formula>"ITAÚ FILIAL"</formula>
    </cfRule>
    <cfRule type="cellIs" dxfId="3051" priority="12496" operator="between">
      <formula>"ITAÚ MATRIZ"</formula>
      <formula>"ITAÚ MATRIZ"</formula>
    </cfRule>
    <cfRule type="cellIs" dxfId="3050" priority="12510" operator="between">
      <formula>"SAFRA"</formula>
      <formula>"SAFRA"</formula>
    </cfRule>
    <cfRule type="cellIs" dxfId="3049" priority="12498" operator="equal">
      <formula>"ITAÚ"</formula>
    </cfRule>
    <cfRule type="cellIs" dxfId="3048" priority="12499" operator="between">
      <formula>"SAFRA"</formula>
      <formula>"SAFRA"</formula>
    </cfRule>
    <cfRule type="cellIs" dxfId="3047" priority="12500" operator="between">
      <formula>"SAFRA"</formula>
      <formula>"SAFRA"</formula>
    </cfRule>
    <cfRule type="cellIs" dxfId="3046" priority="12501" operator="between">
      <formula>"DAYCOVAL"</formula>
      <formula>"DAYCOVAL"</formula>
    </cfRule>
    <cfRule type="cellIs" dxfId="3045" priority="12502" operator="between">
      <formula>"ITAÚ FILIAL"</formula>
      <formula>"ITAÚ FILIAL"</formula>
    </cfRule>
    <cfRule type="cellIs" dxfId="3044" priority="12503" operator="between">
      <formula>"ITAÚ FILIAL"</formula>
      <formula>"ITAÚ FILIAL"</formula>
    </cfRule>
    <cfRule type="cellIs" dxfId="3043" priority="12504" operator="equal">
      <formula>"ITAÚ"</formula>
    </cfRule>
    <cfRule type="cellIs" dxfId="3042" priority="12505" operator="equal">
      <formula>"ITAÚ MATRIZ"</formula>
    </cfRule>
    <cfRule type="cellIs" dxfId="3041" priority="12506" operator="between">
      <formula>"ITAÚ MATRIZ"</formula>
      <formula>"ITAÚ MATRIZ"</formula>
    </cfRule>
    <cfRule type="cellIs" dxfId="3040" priority="12507" operator="equal">
      <formula>"ITAÚ"</formula>
    </cfRule>
    <cfRule type="cellIs" dxfId="3039" priority="12678" operator="equal">
      <formula>"ITAÚ"</formula>
    </cfRule>
    <cfRule type="cellIs" dxfId="3038" priority="12677" operator="between">
      <formula>"ITAÚ MATRIZ"</formula>
      <formula>"ITAÚ MATRIZ"</formula>
    </cfRule>
    <cfRule type="cellIs" dxfId="3037" priority="12676" operator="equal">
      <formula>"ITAÚ MATRIZ"</formula>
    </cfRule>
    <cfRule type="cellIs" dxfId="3036" priority="12675" operator="equal">
      <formula>"ITAÚ"</formula>
    </cfRule>
    <cfRule type="cellIs" dxfId="3035" priority="12674" operator="between">
      <formula>"ITAÚ FILIAL"</formula>
      <formula>"ITAÚ FILIAL"</formula>
    </cfRule>
    <cfRule type="cellIs" dxfId="3034" priority="12673" operator="between">
      <formula>"ITAÚ FILIAL"</formula>
      <formula>"ITAÚ FILIAL"</formula>
    </cfRule>
    <cfRule type="cellIs" dxfId="3033" priority="12672" operator="between">
      <formula>"DAYCOVAL"</formula>
      <formula>"DAYCOVAL"</formula>
    </cfRule>
    <cfRule type="cellIs" dxfId="3032" priority="12671" operator="between">
      <formula>"SAFRA"</formula>
      <formula>"SAFRA"</formula>
    </cfRule>
    <cfRule type="cellIs" dxfId="3031" priority="12670" operator="between">
      <formula>"SAFRA"</formula>
      <formula>"SAFRA"</formula>
    </cfRule>
    <cfRule type="cellIs" dxfId="3030" priority="12669" operator="equal">
      <formula>"ITAÚ"</formula>
    </cfRule>
    <cfRule type="cellIs" dxfId="3029" priority="12668" operator="between">
      <formula>"ITAÚ MATRIZ"</formula>
      <formula>"ITAÚ MATRIZ"</formula>
    </cfRule>
    <cfRule type="cellIs" dxfId="3028" priority="12667" operator="equal">
      <formula>"ITAÚ MATRIZ"</formula>
    </cfRule>
    <cfRule type="cellIs" dxfId="3027" priority="12666" operator="equal">
      <formula>"ITAÚ"</formula>
    </cfRule>
    <cfRule type="cellIs" dxfId="3026" priority="12665" operator="between">
      <formula>"ITAÚ FILIAL"</formula>
      <formula>"ITAÚ FILIAL"</formula>
    </cfRule>
    <cfRule type="cellIs" dxfId="3025" priority="12664" operator="between">
      <formula>"ITAÚ FILIAL"</formula>
      <formula>"ITAÚ FILIAL"</formula>
    </cfRule>
    <cfRule type="cellIs" dxfId="3024" priority="12663" operator="between">
      <formula>"DAYCOVAL"</formula>
      <formula>"DAYCOVAL"</formula>
    </cfRule>
    <cfRule type="cellIs" dxfId="3023" priority="12662" operator="between">
      <formula>"SAFRA"</formula>
      <formula>"SAFRA"</formula>
    </cfRule>
    <cfRule type="cellIs" dxfId="3022" priority="12661" operator="between">
      <formula>"SAFRA"</formula>
      <formula>"SAFRA"</formula>
    </cfRule>
    <cfRule type="cellIs" dxfId="3021" priority="12660" operator="equal">
      <formula>"ITAÚ"</formula>
    </cfRule>
    <cfRule type="cellIs" dxfId="3020" priority="12659" operator="equal">
      <formula>"ITAÚ"</formula>
    </cfRule>
    <cfRule type="cellIs" dxfId="3019" priority="12658" operator="between">
      <formula>"ITAÚ MATRIZ"</formula>
      <formula>"ITAÚ MATRIZ"</formula>
    </cfRule>
    <cfRule type="cellIs" dxfId="3018" priority="12657" operator="between">
      <formula>"ITAÚ FILIAL"</formula>
      <formula>"ITAÚ FILIAL"</formula>
    </cfRule>
    <cfRule type="cellIs" dxfId="3017" priority="12656" operator="between">
      <formula>"ITAÚ FILIAL"</formula>
      <formula>"ITAÚ FILIAL"</formula>
    </cfRule>
    <cfRule type="cellIs" dxfId="3016" priority="12655" operator="between">
      <formula>"DAYCOVAL"</formula>
      <formula>"DAYCOVAL"</formula>
    </cfRule>
    <cfRule type="cellIs" dxfId="3015" priority="12654" operator="between">
      <formula>"SAFRA"</formula>
      <formula>"SAFRA"</formula>
    </cfRule>
    <cfRule type="cellIs" dxfId="3014" priority="12653" operator="between">
      <formula>"SAFRA"</formula>
      <formula>"SAFRA"</formula>
    </cfRule>
    <cfRule type="cellIs" dxfId="3013" priority="12652" operator="equal">
      <formula>"ITAÚ MATRIZ"</formula>
    </cfRule>
    <cfRule type="cellIs" dxfId="3012" priority="12651" operator="equal">
      <formula>"ITAÚ"</formula>
    </cfRule>
    <cfRule type="cellIs" dxfId="3011" priority="12650" operator="between">
      <formula>"ITAÚ MATRIZ"</formula>
      <formula>"ITAÚ MATRIZ"</formula>
    </cfRule>
    <cfRule type="cellIs" dxfId="3010" priority="12649" operator="equal">
      <formula>"ITAÚ MATRIZ"</formula>
    </cfRule>
    <cfRule type="cellIs" dxfId="3009" priority="12648" operator="equal">
      <formula>"ITAÚ"</formula>
    </cfRule>
    <cfRule type="cellIs" dxfId="3008" priority="12647" operator="between">
      <formula>"ITAÚ FILIAL"</formula>
      <formula>"ITAÚ FILIAL"</formula>
    </cfRule>
    <cfRule type="cellIs" dxfId="3007" priority="12646" operator="between">
      <formula>"ITAÚ FILIAL"</formula>
      <formula>"ITAÚ FILIAL"</formula>
    </cfRule>
    <cfRule type="cellIs" dxfId="3006" priority="12645" operator="between">
      <formula>"DAYCOVAL"</formula>
      <formula>"DAYCOVAL"</formula>
    </cfRule>
    <cfRule type="cellIs" dxfId="3005" priority="12644" operator="between">
      <formula>"SAFRA"</formula>
      <formula>"SAFRA"</formula>
    </cfRule>
    <cfRule type="cellIs" dxfId="3004" priority="12643" operator="between">
      <formula>"SAFRA"</formula>
      <formula>"SAFRA"</formula>
    </cfRule>
    <cfRule type="cellIs" dxfId="3003" priority="12642" operator="equal">
      <formula>"ITAÚ"</formula>
    </cfRule>
    <cfRule type="cellIs" dxfId="3002" priority="12641" operator="equal">
      <formula>"ITAÚ"</formula>
    </cfRule>
    <cfRule type="cellIs" dxfId="3001" priority="12640" operator="between">
      <formula>"ITAÚ MATRIZ"</formula>
      <formula>"ITAÚ MATRIZ"</formula>
    </cfRule>
    <cfRule type="cellIs" dxfId="3000" priority="12639" operator="between">
      <formula>"ITAÚ FILIAL"</formula>
      <formula>"ITAÚ FILIAL"</formula>
    </cfRule>
    <cfRule type="cellIs" dxfId="2999" priority="12638" operator="between">
      <formula>"ITAÚ FILIAL"</formula>
      <formula>"ITAÚ FILIAL"</formula>
    </cfRule>
    <cfRule type="cellIs" dxfId="2998" priority="12637" operator="between">
      <formula>"DAYCOVAL"</formula>
      <formula>"DAYCOVAL"</formula>
    </cfRule>
    <cfRule type="cellIs" dxfId="2997" priority="12636" operator="between">
      <formula>"SAFRA"</formula>
      <formula>"SAFRA"</formula>
    </cfRule>
    <cfRule type="cellIs" dxfId="2996" priority="12635" operator="between">
      <formula>"SAFRA"</formula>
      <formula>"SAFRA"</formula>
    </cfRule>
    <cfRule type="cellIs" dxfId="2995" priority="12634" operator="equal">
      <formula>"ITAÚ MATRIZ"</formula>
    </cfRule>
    <cfRule type="cellIs" dxfId="2994" priority="12633" operator="equal">
      <formula>"ITAÚ"</formula>
    </cfRule>
    <cfRule type="cellIs" dxfId="2993" priority="12632" operator="between">
      <formula>"ITAÚ MATRIZ"</formula>
      <formula>"ITAÚ MATRIZ"</formula>
    </cfRule>
    <cfRule type="cellIs" dxfId="2992" priority="12631" operator="equal">
      <formula>"ITAÚ MATRIZ"</formula>
    </cfRule>
    <cfRule type="cellIs" dxfId="2991" priority="12630" operator="equal">
      <formula>"ITAÚ"</formula>
    </cfRule>
    <cfRule type="cellIs" dxfId="2990" priority="12629" operator="between">
      <formula>"ITAÚ FILIAL"</formula>
      <formula>"ITAÚ FILIAL"</formula>
    </cfRule>
    <cfRule type="cellIs" dxfId="2989" priority="12628" operator="between">
      <formula>"ITAÚ FILIAL"</formula>
      <formula>"ITAÚ FILIAL"</formula>
    </cfRule>
    <cfRule type="cellIs" dxfId="2988" priority="12627" operator="between">
      <formula>"DAYCOVAL"</formula>
      <formula>"DAYCOVAL"</formula>
    </cfRule>
    <cfRule type="cellIs" dxfId="2987" priority="12626" operator="between">
      <formula>"SAFRA"</formula>
      <formula>"SAFRA"</formula>
    </cfRule>
    <cfRule type="cellIs" dxfId="2986" priority="12625" operator="between">
      <formula>"SAFRA"</formula>
      <formula>"SAFRA"</formula>
    </cfRule>
    <cfRule type="cellIs" dxfId="2985" priority="12624" operator="equal">
      <formula>"ITAÚ"</formula>
    </cfRule>
    <cfRule type="cellIs" dxfId="2984" priority="12623" operator="equal">
      <formula>"ITAÚ"</formula>
    </cfRule>
    <cfRule type="cellIs" dxfId="2983" priority="12622" operator="between">
      <formula>"ITAÚ MATRIZ"</formula>
      <formula>"ITAÚ MATRIZ"</formula>
    </cfRule>
    <cfRule type="cellIs" dxfId="2982" priority="12621" operator="between">
      <formula>"ITAÚ FILIAL"</formula>
      <formula>"ITAÚ FILIAL"</formula>
    </cfRule>
    <cfRule type="cellIs" dxfId="2981" priority="12620" operator="between">
      <formula>"ITAÚ FILIAL"</formula>
      <formula>"ITAÚ FILIAL"</formula>
    </cfRule>
    <cfRule type="cellIs" dxfId="2980" priority="12619" operator="between">
      <formula>"DAYCOVAL"</formula>
      <formula>"DAYCOVAL"</formula>
    </cfRule>
    <cfRule type="cellIs" dxfId="2979" priority="12618" operator="between">
      <formula>"SAFRA"</formula>
      <formula>"SAFRA"</formula>
    </cfRule>
    <cfRule type="cellIs" dxfId="2978" priority="12617" operator="between">
      <formula>"SAFRA"</formula>
      <formula>"SAFRA"</formula>
    </cfRule>
    <cfRule type="cellIs" dxfId="2977" priority="12616" operator="equal">
      <formula>"ITAÚ MATRIZ"</formula>
    </cfRule>
    <cfRule type="cellIs" dxfId="2976" priority="12615" operator="equal">
      <formula>"ITAÚ"</formula>
    </cfRule>
    <cfRule type="cellIs" dxfId="2975" priority="12614" operator="equal">
      <formula>"ITAÚ"</formula>
    </cfRule>
    <cfRule type="cellIs" dxfId="2974" priority="12613" operator="between">
      <formula>"ITAÚ MATRIZ"</formula>
      <formula>"ITAÚ MATRIZ"</formula>
    </cfRule>
    <cfRule type="cellIs" dxfId="2973" priority="12612" operator="between">
      <formula>"ITAÚ FILIAL"</formula>
      <formula>"ITAÚ FILIAL"</formula>
    </cfRule>
    <cfRule type="cellIs" dxfId="2972" priority="12611" operator="between">
      <formula>"ITAÚ FILIAL"</formula>
      <formula>"ITAÚ FILIAL"</formula>
    </cfRule>
    <cfRule type="cellIs" dxfId="2971" priority="12610" operator="between">
      <formula>"DAYCOVAL"</formula>
      <formula>"DAYCOVAL"</formula>
    </cfRule>
    <cfRule type="cellIs" dxfId="2970" priority="12609" operator="between">
      <formula>"SAFRA"</formula>
      <formula>"SAFRA"</formula>
    </cfRule>
    <cfRule type="cellIs" dxfId="2969" priority="12608" operator="between">
      <formula>"SAFRA"</formula>
      <formula>"SAFRA"</formula>
    </cfRule>
    <cfRule type="cellIs" dxfId="2968" priority="12607" operator="equal">
      <formula>"ITAÚ MATRIZ"</formula>
    </cfRule>
    <cfRule type="cellIs" dxfId="2967" priority="12606" operator="equal">
      <formula>"ITAÚ"</formula>
    </cfRule>
    <cfRule type="cellIs" dxfId="2966" priority="12598" operator="equal">
      <formula>"ITAÚ MATRIZ"</formula>
    </cfRule>
    <cfRule type="cellIs" dxfId="2965" priority="12604" operator="between">
      <formula>"ITAÚ MATRIZ"</formula>
      <formula>"ITAÚ MATRIZ"</formula>
    </cfRule>
    <cfRule type="cellIs" dxfId="2964" priority="12603" operator="between">
      <formula>"ITAÚ FILIAL"</formula>
      <formula>"ITAÚ FILIAL"</formula>
    </cfRule>
    <cfRule type="cellIs" dxfId="2963" priority="12602" operator="between">
      <formula>"ITAÚ FILIAL"</formula>
      <formula>"ITAÚ FILIAL"</formula>
    </cfRule>
    <cfRule type="cellIs" dxfId="2962" priority="12601" operator="between">
      <formula>"DAYCOVAL"</formula>
      <formula>"DAYCOVAL"</formula>
    </cfRule>
    <cfRule type="cellIs" dxfId="2961" priority="12600" operator="between">
      <formula>"SAFRA"</formula>
      <formula>"SAFRA"</formula>
    </cfRule>
    <cfRule type="cellIs" dxfId="2960" priority="12599" operator="between">
      <formula>"SAFRA"</formula>
      <formula>"SAFRA"</formula>
    </cfRule>
    <cfRule type="cellIs" dxfId="2959" priority="12508" operator="equal">
      <formula>"ITAÚ MATRIZ"</formula>
    </cfRule>
    <cfRule type="cellIs" dxfId="2958" priority="12597" operator="equal">
      <formula>"ITAÚ"</formula>
    </cfRule>
    <cfRule type="cellIs" dxfId="2957" priority="12596" operator="equal">
      <formula>"ITAÚ"</formula>
    </cfRule>
    <cfRule type="cellIs" dxfId="2956" priority="12595" operator="between">
      <formula>"ITAÚ MATRIZ"</formula>
      <formula>"ITAÚ MATRIZ"</formula>
    </cfRule>
    <cfRule type="cellIs" dxfId="2955" priority="12594" operator="between">
      <formula>"ITAÚ FILIAL"</formula>
      <formula>"ITAÚ FILIAL"</formula>
    </cfRule>
    <cfRule type="cellIs" dxfId="2954" priority="12593" operator="between">
      <formula>"ITAÚ FILIAL"</formula>
      <formula>"ITAÚ FILIAL"</formula>
    </cfRule>
    <cfRule type="cellIs" dxfId="2953" priority="12592" operator="between">
      <formula>"DAYCOVAL"</formula>
      <formula>"DAYCOVAL"</formula>
    </cfRule>
    <cfRule type="cellIs" dxfId="2952" priority="12591" operator="between">
      <formula>"SAFRA"</formula>
      <formula>"SAFRA"</formula>
    </cfRule>
    <cfRule type="cellIs" dxfId="2951" priority="12590" operator="between">
      <formula>"SAFRA"</formula>
      <formula>"SAFRA"</formula>
    </cfRule>
    <cfRule type="cellIs" dxfId="2950" priority="12589" operator="equal">
      <formula>"ITAÚ MATRIZ"</formula>
    </cfRule>
    <cfRule type="cellIs" dxfId="2949" priority="12588" operator="equal">
      <formula>"ITAÚ"</formula>
    </cfRule>
    <cfRule type="cellIs" dxfId="2948" priority="12587" operator="equal">
      <formula>"ITAÚ"</formula>
    </cfRule>
    <cfRule type="cellIs" dxfId="2947" priority="12586" operator="between">
      <formula>"ITAÚ MATRIZ"</formula>
      <formula>"ITAÚ MATRIZ"</formula>
    </cfRule>
    <cfRule type="cellIs" dxfId="2946" priority="12585" operator="between">
      <formula>"ITAÚ FILIAL"</formula>
      <formula>"ITAÚ FILIAL"</formula>
    </cfRule>
    <cfRule type="cellIs" dxfId="2945" priority="12584" operator="between">
      <formula>"ITAÚ FILIAL"</formula>
      <formula>"ITAÚ FILIAL"</formula>
    </cfRule>
    <cfRule type="cellIs" dxfId="2944" priority="12583" operator="between">
      <formula>"DAYCOVAL"</formula>
      <formula>"DAYCOVAL"</formula>
    </cfRule>
    <cfRule type="cellIs" dxfId="2943" priority="12582" operator="between">
      <formula>"SAFRA"</formula>
      <formula>"SAFRA"</formula>
    </cfRule>
    <cfRule type="cellIs" dxfId="2942" priority="12581" operator="between">
      <formula>"SAFRA"</formula>
      <formula>"SAFRA"</formula>
    </cfRule>
    <cfRule type="cellIs" dxfId="2941" priority="12580" operator="equal">
      <formula>"ITAÚ MATRIZ"</formula>
    </cfRule>
    <cfRule type="cellIs" dxfId="2940" priority="12579" operator="equal">
      <formula>"ITAÚ"</formula>
    </cfRule>
    <cfRule type="cellIs" dxfId="2939" priority="12578" operator="between">
      <formula>"ITAÚ MATRIZ"</formula>
      <formula>"ITAÚ MATRIZ"</formula>
    </cfRule>
    <cfRule type="cellIs" dxfId="2938" priority="12577" operator="equal">
      <formula>"ITAÚ MATRIZ"</formula>
    </cfRule>
    <cfRule type="cellIs" dxfId="2937" priority="12576" operator="equal">
      <formula>"ITAÚ"</formula>
    </cfRule>
    <cfRule type="cellIs" dxfId="2936" priority="12575" operator="between">
      <formula>"ITAÚ FILIAL"</formula>
      <formula>"ITAÚ FILIAL"</formula>
    </cfRule>
    <cfRule type="cellIs" dxfId="2935" priority="12574" operator="between">
      <formula>"ITAÚ FILIAL"</formula>
      <formula>"ITAÚ FILIAL"</formula>
    </cfRule>
    <cfRule type="cellIs" dxfId="2934" priority="12573" operator="between">
      <formula>"DAYCOVAL"</formula>
      <formula>"DAYCOVAL"</formula>
    </cfRule>
    <cfRule type="cellIs" dxfId="2933" priority="12572" operator="between">
      <formula>"SAFRA"</formula>
      <formula>"SAFRA"</formula>
    </cfRule>
    <cfRule type="cellIs" dxfId="2932" priority="12571" operator="between">
      <formula>"SAFRA"</formula>
      <formula>"SAFRA"</formula>
    </cfRule>
    <cfRule type="cellIs" dxfId="2931" priority="12570" operator="equal">
      <formula>"ITAÚ"</formula>
    </cfRule>
    <cfRule type="cellIs" dxfId="2930" priority="12569" operator="equal">
      <formula>"ITAÚ"</formula>
    </cfRule>
    <cfRule type="cellIs" dxfId="2929" priority="12568" operator="between">
      <formula>"ITAÚ MATRIZ"</formula>
      <formula>"ITAÚ MATRIZ"</formula>
    </cfRule>
    <cfRule type="cellIs" dxfId="2928" priority="12567" operator="between">
      <formula>"ITAÚ FILIAL"</formula>
      <formula>"ITAÚ FILIAL"</formula>
    </cfRule>
    <cfRule type="cellIs" dxfId="2927" priority="12566" operator="between">
      <formula>"ITAÚ FILIAL"</formula>
      <formula>"ITAÚ FILIAL"</formula>
    </cfRule>
    <cfRule type="cellIs" dxfId="2926" priority="12565" operator="between">
      <formula>"DAYCOVAL"</formula>
      <formula>"DAYCOVAL"</formula>
    </cfRule>
    <cfRule type="cellIs" dxfId="2925" priority="12564" operator="between">
      <formula>"SAFRA"</formula>
      <formula>"SAFRA"</formula>
    </cfRule>
    <cfRule type="cellIs" dxfId="2924" priority="12563" operator="between">
      <formula>"SAFRA"</formula>
      <formula>"SAFRA"</formula>
    </cfRule>
    <cfRule type="cellIs" dxfId="2923" priority="12562" operator="equal">
      <formula>"ITAÚ MATRIZ"</formula>
    </cfRule>
    <cfRule type="cellIs" dxfId="2922" priority="12561" operator="equal">
      <formula>"ITAÚ"</formula>
    </cfRule>
    <cfRule type="cellIs" dxfId="2921" priority="12560" operator="between">
      <formula>"ITAÚ MATRIZ"</formula>
      <formula>"ITAÚ MATRIZ"</formula>
    </cfRule>
    <cfRule type="cellIs" dxfId="2920" priority="12559" operator="equal">
      <formula>"ITAÚ MATRIZ"</formula>
    </cfRule>
    <cfRule type="cellIs" dxfId="2919" priority="12558" operator="equal">
      <formula>"ITAÚ"</formula>
    </cfRule>
    <cfRule type="cellIs" dxfId="2918" priority="12557" operator="between">
      <formula>"ITAÚ FILIAL"</formula>
      <formula>"ITAÚ FILIAL"</formula>
    </cfRule>
    <cfRule type="cellIs" dxfId="2917" priority="12556" operator="between">
      <formula>"ITAÚ FILIAL"</formula>
      <formula>"ITAÚ FILIAL"</formula>
    </cfRule>
    <cfRule type="cellIs" dxfId="2916" priority="12555" operator="between">
      <formula>"DAYCOVAL"</formula>
      <formula>"DAYCOVAL"</formula>
    </cfRule>
    <cfRule type="cellIs" dxfId="2915" priority="12554" operator="between">
      <formula>"SAFRA"</formula>
      <formula>"SAFRA"</formula>
    </cfRule>
    <cfRule type="cellIs" dxfId="2914" priority="12553" operator="between">
      <formula>"SAFRA"</formula>
      <formula>"SAFRA"</formula>
    </cfRule>
    <cfRule type="cellIs" dxfId="2913" priority="12552" operator="equal">
      <formula>"ITAÚ"</formula>
    </cfRule>
    <cfRule type="cellIs" dxfId="2912" priority="12551" operator="equal">
      <formula>"ITAÚ"</formula>
    </cfRule>
    <cfRule type="cellIs" dxfId="2911" priority="12550" operator="between">
      <formula>"ITAÚ MATRIZ"</formula>
      <formula>"ITAÚ MATRIZ"</formula>
    </cfRule>
    <cfRule type="cellIs" dxfId="2910" priority="12549" operator="between">
      <formula>"ITAÚ FILIAL"</formula>
      <formula>"ITAÚ FILIAL"</formula>
    </cfRule>
    <cfRule type="cellIs" dxfId="2909" priority="12548" operator="between">
      <formula>"ITAÚ FILIAL"</formula>
      <formula>"ITAÚ FILIAL"</formula>
    </cfRule>
    <cfRule type="cellIs" dxfId="2908" priority="12547" operator="between">
      <formula>"DAYCOVAL"</formula>
      <formula>"DAYCOVAL"</formula>
    </cfRule>
    <cfRule type="cellIs" dxfId="2907" priority="12546" operator="between">
      <formula>"SAFRA"</formula>
      <formula>"SAFRA"</formula>
    </cfRule>
    <cfRule type="cellIs" dxfId="2906" priority="12545" operator="between">
      <formula>"SAFRA"</formula>
      <formula>"SAFRA"</formula>
    </cfRule>
    <cfRule type="cellIs" dxfId="2905" priority="12544" operator="equal">
      <formula>"ITAÚ MATRIZ"</formula>
    </cfRule>
    <cfRule type="cellIs" dxfId="2904" priority="12543" operator="equal">
      <formula>"ITAÚ"</formula>
    </cfRule>
    <cfRule type="cellIs" dxfId="2903" priority="12542" operator="equal">
      <formula>"ITAÚ"</formula>
    </cfRule>
    <cfRule type="cellIs" dxfId="2902" priority="12541" operator="between">
      <formula>"ITAÚ MATRIZ"</formula>
      <formula>"ITAÚ MATRIZ"</formula>
    </cfRule>
    <cfRule type="cellIs" dxfId="2901" priority="12540" operator="between">
      <formula>"ITAÚ FILIAL"</formula>
      <formula>"ITAÚ FILIAL"</formula>
    </cfRule>
    <cfRule type="cellIs" dxfId="2900" priority="12539" operator="between">
      <formula>"ITAÚ FILIAL"</formula>
      <formula>"ITAÚ FILIAL"</formula>
    </cfRule>
    <cfRule type="cellIs" dxfId="2899" priority="12538" operator="between">
      <formula>"DAYCOVAL"</formula>
      <formula>"DAYCOVAL"</formula>
    </cfRule>
    <cfRule type="cellIs" dxfId="2898" priority="12537" operator="between">
      <formula>"SAFRA"</formula>
      <formula>"SAFRA"</formula>
    </cfRule>
    <cfRule type="cellIs" dxfId="2897" priority="12536" operator="between">
      <formula>"SAFRA"</formula>
      <formula>"SAFRA"</formula>
    </cfRule>
    <cfRule type="cellIs" dxfId="2896" priority="12535" operator="equal">
      <formula>"ITAÚ MATRIZ"</formula>
    </cfRule>
    <cfRule type="cellIs" dxfId="2895" priority="12534" operator="equal">
      <formula>"ITAÚ"</formula>
    </cfRule>
    <cfRule type="cellIs" dxfId="2894" priority="12533" operator="equal">
      <formula>"ITAÚ"</formula>
    </cfRule>
    <cfRule type="cellIs" dxfId="2893" priority="12532" operator="between">
      <formula>"ITAÚ MATRIZ"</formula>
      <formula>"ITAÚ MATRIZ"</formula>
    </cfRule>
    <cfRule type="cellIs" dxfId="2892" priority="12531" operator="between">
      <formula>"ITAÚ FILIAL"</formula>
      <formula>"ITAÚ FILIAL"</formula>
    </cfRule>
    <cfRule type="cellIs" dxfId="2891" priority="12530" operator="between">
      <formula>"ITAÚ FILIAL"</formula>
      <formula>"ITAÚ FILIAL"</formula>
    </cfRule>
    <cfRule type="cellIs" dxfId="2890" priority="12529" operator="between">
      <formula>"DAYCOVAL"</formula>
      <formula>"DAYCOVAL"</formula>
    </cfRule>
    <cfRule type="cellIs" dxfId="2889" priority="12528" operator="between">
      <formula>"SAFRA"</formula>
      <formula>"SAFRA"</formula>
    </cfRule>
    <cfRule type="cellIs" dxfId="2888" priority="12527" operator="between">
      <formula>"SAFRA"</formula>
      <formula>"SAFRA"</formula>
    </cfRule>
    <cfRule type="cellIs" dxfId="2887" priority="12526" operator="equal">
      <formula>"ITAÚ MATRIZ"</formula>
    </cfRule>
    <cfRule type="cellIs" dxfId="2886" priority="12525" operator="equal">
      <formula>"ITAÚ"</formula>
    </cfRule>
    <cfRule type="cellIs" dxfId="2885" priority="12524" operator="equal">
      <formula>"ITAÚ"</formula>
    </cfRule>
    <cfRule type="cellIs" dxfId="2884" priority="12523" operator="between">
      <formula>"ITAÚ MATRIZ"</formula>
      <formula>"ITAÚ MATRIZ"</formula>
    </cfRule>
    <cfRule type="cellIs" dxfId="2883" priority="12522" operator="between">
      <formula>"ITAÚ FILIAL"</formula>
      <formula>"ITAÚ FILIAL"</formula>
    </cfRule>
    <cfRule type="cellIs" dxfId="2882" priority="12521" operator="between">
      <formula>"ITAÚ FILIAL"</formula>
      <formula>"ITAÚ FILIAL"</formula>
    </cfRule>
    <cfRule type="cellIs" dxfId="2881" priority="12520" operator="between">
      <formula>"DAYCOVAL"</formula>
      <formula>"DAYCOVAL"</formula>
    </cfRule>
    <cfRule type="cellIs" dxfId="2880" priority="12519" operator="between">
      <formula>"SAFRA"</formula>
      <formula>"SAFRA"</formula>
    </cfRule>
    <cfRule type="cellIs" dxfId="2879" priority="12518" operator="between">
      <formula>"SAFRA"</formula>
      <formula>"SAFRA"</formula>
    </cfRule>
    <cfRule type="cellIs" dxfId="2878" priority="12517" operator="equal">
      <formula>"ITAÚ MATRIZ"</formula>
    </cfRule>
    <cfRule type="cellIs" dxfId="2877" priority="12516" operator="equal">
      <formula>"ITAÚ"</formula>
    </cfRule>
    <cfRule type="cellIs" dxfId="2876" priority="12515" operator="equal">
      <formula>"ITAÚ"</formula>
    </cfRule>
    <cfRule type="cellIs" dxfId="2875" priority="12514" operator="between">
      <formula>"ITAÚ MATRIZ"</formula>
      <formula>"ITAÚ MATRIZ"</formula>
    </cfRule>
    <cfRule type="cellIs" dxfId="2874" priority="12513" operator="between">
      <formula>"ITAÚ FILIAL"</formula>
      <formula>"ITAÚ FILIAL"</formula>
    </cfRule>
    <cfRule type="cellIs" dxfId="2873" priority="12512" operator="between">
      <formula>"ITAÚ FILIAL"</formula>
      <formula>"ITAÚ FILIAL"</formula>
    </cfRule>
    <cfRule type="cellIs" dxfId="2872" priority="12605" operator="equal">
      <formula>"ITAÚ"</formula>
    </cfRule>
  </conditionalFormatting>
  <conditionalFormatting sqref="I259 I452:I458 I460:I475 I437:I450 I429:I435 I414:I427 I406:I412 I391:I404 I383:I389 I368:I381 I360:I366 I345:I358 I341:I343 I485:I488 I477:I483">
    <cfRule type="cellIs" dxfId="2871" priority="12497" operator="equal">
      <formula>"ITAÚ"</formula>
    </cfRule>
  </conditionalFormatting>
  <conditionalFormatting sqref="I260:I327">
    <cfRule type="cellIs" dxfId="2870" priority="2366" operator="between">
      <formula>"ITAÚ FILIAL"</formula>
      <formula>"ITAÚ FILIAL"</formula>
    </cfRule>
    <cfRule type="cellIs" dxfId="2869" priority="2375" operator="between">
      <formula>"ITAÚ FILIAL"</formula>
      <formula>"ITAÚ FILIAL"</formula>
    </cfRule>
    <cfRule type="cellIs" dxfId="2868" priority="2756" operator="between">
      <formula>"DAYCOVAL"</formula>
      <formula>"DAYCOVAL"</formula>
    </cfRule>
    <cfRule type="cellIs" dxfId="2867" priority="2757" operator="between">
      <formula>"ITAÚ FILIAL"</formula>
      <formula>"ITAÚ FILIAL"</formula>
    </cfRule>
    <cfRule type="cellIs" dxfId="2866" priority="2758" operator="between">
      <formula>"ITAÚ FILIAL"</formula>
      <formula>"ITAÚ FILIAL"</formula>
    </cfRule>
    <cfRule type="cellIs" dxfId="2865" priority="2759" operator="between">
      <formula>"ITAÚ MATRIZ"</formula>
      <formula>"ITAÚ MATRIZ"</formula>
    </cfRule>
    <cfRule type="cellIs" dxfId="2864" priority="2760" operator="equal">
      <formula>"ITAÚ"</formula>
    </cfRule>
    <cfRule type="cellIs" dxfId="2863" priority="2761" operator="equal">
      <formula>"ITAÚ"</formula>
    </cfRule>
    <cfRule type="cellIs" dxfId="2862" priority="2762" operator="between">
      <formula>"SAFRA"</formula>
      <formula>"SAFRA"</formula>
    </cfRule>
    <cfRule type="cellIs" dxfId="2861" priority="2763" operator="between">
      <formula>"SAFRA"</formula>
      <formula>"SAFRA"</formula>
    </cfRule>
    <cfRule type="cellIs" dxfId="2860" priority="2764" operator="between">
      <formula>"DAYCOVAL"</formula>
      <formula>"DAYCOVAL"</formula>
    </cfRule>
    <cfRule type="cellIs" dxfId="2859" priority="2765" operator="between">
      <formula>"ITAÚ FILIAL"</formula>
      <formula>"ITAÚ FILIAL"</formula>
    </cfRule>
    <cfRule type="cellIs" dxfId="2858" priority="2766" operator="between">
      <formula>"ITAÚ FILIAL"</formula>
      <formula>"ITAÚ FILIAL"</formula>
    </cfRule>
    <cfRule type="cellIs" dxfId="2857" priority="2767" operator="equal">
      <formula>"ITAÚ"</formula>
    </cfRule>
    <cfRule type="cellIs" dxfId="2856" priority="2768" operator="equal">
      <formula>"ITAÚ MATRIZ"</formula>
    </cfRule>
    <cfRule type="cellIs" dxfId="2855" priority="2769" operator="between">
      <formula>"ITAÚ MATRIZ"</formula>
      <formula>"ITAÚ MATRIZ"</formula>
    </cfRule>
    <cfRule type="cellIs" dxfId="2854" priority="2770" operator="equal">
      <formula>"ITAÚ"</formula>
    </cfRule>
    <cfRule type="cellIs" dxfId="2853" priority="2771" operator="between">
      <formula>"SAFRA"</formula>
      <formula>"SAFRA"</formula>
    </cfRule>
    <cfRule type="cellIs" dxfId="2852" priority="2779" operator="equal">
      <formula>"ITAÚ"</formula>
    </cfRule>
    <cfRule type="cellIs" dxfId="2851" priority="2772" operator="between">
      <formula>"SAFRA"</formula>
      <formula>"SAFRA"</formula>
    </cfRule>
    <cfRule type="cellIs" dxfId="2850" priority="2773" operator="between">
      <formula>"DAYCOVAL"</formula>
      <formula>"DAYCOVAL"</formula>
    </cfRule>
    <cfRule type="cellIs" dxfId="2849" priority="2774" operator="between">
      <formula>"ITAÚ FILIAL"</formula>
      <formula>"ITAÚ FILIAL"</formula>
    </cfRule>
    <cfRule type="cellIs" dxfId="2848" priority="2775" operator="between">
      <formula>"ITAÚ FILIAL"</formula>
      <formula>"ITAÚ FILIAL"</formula>
    </cfRule>
    <cfRule type="cellIs" dxfId="2847" priority="2755" operator="between">
      <formula>"SAFRA"</formula>
      <formula>"SAFRA"</formula>
    </cfRule>
    <cfRule type="cellIs" dxfId="2846" priority="2754" operator="between">
      <formula>"SAFRA"</formula>
      <formula>"SAFRA"</formula>
    </cfRule>
    <cfRule type="cellIs" dxfId="2845" priority="2753" operator="equal">
      <formula>"ITAÚ MATRIZ"</formula>
    </cfRule>
    <cfRule type="cellIs" dxfId="2844" priority="2752" operator="equal">
      <formula>"ITAÚ"</formula>
    </cfRule>
    <cfRule type="cellIs" dxfId="2843" priority="2751" operator="between">
      <formula>"ITAÚ MATRIZ"</formula>
      <formula>"ITAÚ MATRIZ"</formula>
    </cfRule>
    <cfRule type="cellIs" dxfId="2842" priority="2750" operator="equal">
      <formula>"ITAÚ MATRIZ"</formula>
    </cfRule>
    <cfRule type="cellIs" dxfId="2841" priority="2749" operator="equal">
      <formula>"ITAÚ"</formula>
    </cfRule>
    <cfRule type="cellIs" dxfId="2840" priority="2748" operator="between">
      <formula>"ITAÚ FILIAL"</formula>
      <formula>"ITAÚ FILIAL"</formula>
    </cfRule>
    <cfRule type="cellIs" dxfId="2839" priority="2747" operator="between">
      <formula>"ITAÚ FILIAL"</formula>
      <formula>"ITAÚ FILIAL"</formula>
    </cfRule>
    <cfRule type="cellIs" dxfId="2838" priority="2746" operator="between">
      <formula>"DAYCOVAL"</formula>
      <formula>"DAYCOVAL"</formula>
    </cfRule>
    <cfRule type="cellIs" dxfId="2837" priority="2745" operator="between">
      <formula>"SAFRA"</formula>
      <formula>"SAFRA"</formula>
    </cfRule>
    <cfRule type="cellIs" dxfId="2836" priority="2744" operator="between">
      <formula>"SAFRA"</formula>
      <formula>"SAFRA"</formula>
    </cfRule>
    <cfRule type="cellIs" dxfId="2835" priority="2743" operator="equal">
      <formula>"ITAÚ"</formula>
    </cfRule>
    <cfRule type="cellIs" dxfId="2834" priority="2742" operator="equal">
      <formula>"ITAÚ"</formula>
    </cfRule>
    <cfRule type="cellIs" dxfId="2833" priority="2741" operator="between">
      <formula>"ITAÚ MATRIZ"</formula>
      <formula>"ITAÚ MATRIZ"</formula>
    </cfRule>
    <cfRule type="cellIs" dxfId="2832" priority="2740" operator="between">
      <formula>"ITAÚ FILIAL"</formula>
      <formula>"ITAÚ FILIAL"</formula>
    </cfRule>
    <cfRule type="cellIs" dxfId="2831" priority="2739" operator="between">
      <formula>"ITAÚ FILIAL"</formula>
      <formula>"ITAÚ FILIAL"</formula>
    </cfRule>
    <cfRule type="cellIs" dxfId="2830" priority="2738" operator="between">
      <formula>"DAYCOVAL"</formula>
      <formula>"DAYCOVAL"</formula>
    </cfRule>
    <cfRule type="cellIs" dxfId="2829" priority="2737" operator="between">
      <formula>"SAFRA"</formula>
      <formula>"SAFRA"</formula>
    </cfRule>
    <cfRule type="cellIs" dxfId="2828" priority="2736" operator="between">
      <formula>"SAFRA"</formula>
      <formula>"SAFRA"</formula>
    </cfRule>
    <cfRule type="cellIs" dxfId="2827" priority="2735" operator="equal">
      <formula>"ITAÚ MATRIZ"</formula>
    </cfRule>
    <cfRule type="cellIs" dxfId="2826" priority="2734" operator="equal">
      <formula>"ITAÚ"</formula>
    </cfRule>
    <cfRule type="cellIs" dxfId="2825" priority="2733" operator="between">
      <formula>"ITAÚ MATRIZ"</formula>
      <formula>"ITAÚ MATRIZ"</formula>
    </cfRule>
    <cfRule type="cellIs" dxfId="2824" priority="2732" operator="equal">
      <formula>"ITAÚ MATRIZ"</formula>
    </cfRule>
    <cfRule type="cellIs" dxfId="2823" priority="2731" operator="equal">
      <formula>"ITAÚ"</formula>
    </cfRule>
    <cfRule type="cellIs" dxfId="2822" priority="2730" operator="between">
      <formula>"ITAÚ FILIAL"</formula>
      <formula>"ITAÚ FILIAL"</formula>
    </cfRule>
    <cfRule type="cellIs" dxfId="2821" priority="2729" operator="between">
      <formula>"ITAÚ FILIAL"</formula>
      <formula>"ITAÚ FILIAL"</formula>
    </cfRule>
    <cfRule type="cellIs" dxfId="2820" priority="2728" operator="between">
      <formula>"DAYCOVAL"</formula>
      <formula>"DAYCOVAL"</formula>
    </cfRule>
    <cfRule type="cellIs" dxfId="2819" priority="2727" operator="between">
      <formula>"SAFRA"</formula>
      <formula>"SAFRA"</formula>
    </cfRule>
    <cfRule type="cellIs" dxfId="2818" priority="2726" operator="between">
      <formula>"SAFRA"</formula>
      <formula>"SAFRA"</formula>
    </cfRule>
    <cfRule type="cellIs" dxfId="2817" priority="2725" operator="equal">
      <formula>"ITAÚ"</formula>
    </cfRule>
    <cfRule type="cellIs" dxfId="2816" priority="2724" operator="equal">
      <formula>"ITAÚ"</formula>
    </cfRule>
    <cfRule type="cellIs" dxfId="2815" priority="2723" operator="between">
      <formula>"ITAÚ MATRIZ"</formula>
      <formula>"ITAÚ MATRIZ"</formula>
    </cfRule>
    <cfRule type="cellIs" dxfId="2814" priority="2722" operator="between">
      <formula>"ITAÚ FILIAL"</formula>
      <formula>"ITAÚ FILIAL"</formula>
    </cfRule>
    <cfRule type="cellIs" dxfId="2813" priority="2721" operator="between">
      <formula>"ITAÚ FILIAL"</formula>
      <formula>"ITAÚ FILIAL"</formula>
    </cfRule>
    <cfRule type="cellIs" dxfId="2812" priority="2720" operator="between">
      <formula>"DAYCOVAL"</formula>
      <formula>"DAYCOVAL"</formula>
    </cfRule>
    <cfRule type="cellIs" dxfId="2811" priority="2719" operator="between">
      <formula>"SAFRA"</formula>
      <formula>"SAFRA"</formula>
    </cfRule>
    <cfRule type="cellIs" dxfId="2810" priority="2718" operator="between">
      <formula>"SAFRA"</formula>
      <formula>"SAFRA"</formula>
    </cfRule>
    <cfRule type="cellIs" dxfId="2809" priority="2717" operator="equal">
      <formula>"ITAÚ MATRIZ"</formula>
    </cfRule>
    <cfRule type="cellIs" dxfId="2808" priority="2716" operator="equal">
      <formula>"ITAÚ"</formula>
    </cfRule>
    <cfRule type="cellIs" dxfId="2807" priority="2715" operator="equal">
      <formula>"ITAÚ"</formula>
    </cfRule>
    <cfRule type="cellIs" dxfId="2806" priority="2714" operator="between">
      <formula>"ITAÚ MATRIZ"</formula>
      <formula>"ITAÚ MATRIZ"</formula>
    </cfRule>
    <cfRule type="cellIs" dxfId="2805" priority="2713" operator="between">
      <formula>"ITAÚ FILIAL"</formula>
      <formula>"ITAÚ FILIAL"</formula>
    </cfRule>
    <cfRule type="cellIs" dxfId="2804" priority="2712" operator="between">
      <formula>"ITAÚ FILIAL"</formula>
      <formula>"ITAÚ FILIAL"</formula>
    </cfRule>
    <cfRule type="cellIs" dxfId="2803" priority="2711" operator="between">
      <formula>"DAYCOVAL"</formula>
      <formula>"DAYCOVAL"</formula>
    </cfRule>
    <cfRule type="cellIs" dxfId="2802" priority="2710" operator="between">
      <formula>"SAFRA"</formula>
      <formula>"SAFRA"</formula>
    </cfRule>
    <cfRule type="cellIs" dxfId="2801" priority="2709" operator="between">
      <formula>"SAFRA"</formula>
      <formula>"SAFRA"</formula>
    </cfRule>
    <cfRule type="cellIs" dxfId="2800" priority="2708" operator="equal">
      <formula>"ITAÚ MATRIZ"</formula>
    </cfRule>
    <cfRule type="cellIs" dxfId="2799" priority="2707" operator="equal">
      <formula>"ITAÚ"</formula>
    </cfRule>
    <cfRule type="cellIs" dxfId="2798" priority="2706" operator="equal">
      <formula>"ITAÚ"</formula>
    </cfRule>
    <cfRule type="cellIs" dxfId="2797" priority="2705" operator="between">
      <formula>"ITAÚ MATRIZ"</formula>
      <formula>"ITAÚ MATRIZ"</formula>
    </cfRule>
    <cfRule type="cellIs" dxfId="2796" priority="2704" operator="between">
      <formula>"ITAÚ FILIAL"</formula>
      <formula>"ITAÚ FILIAL"</formula>
    </cfRule>
    <cfRule type="cellIs" dxfId="2795" priority="2703" operator="between">
      <formula>"ITAÚ FILIAL"</formula>
      <formula>"ITAÚ FILIAL"</formula>
    </cfRule>
    <cfRule type="cellIs" dxfId="2794" priority="2702" operator="between">
      <formula>"DAYCOVAL"</formula>
      <formula>"DAYCOVAL"</formula>
    </cfRule>
    <cfRule type="cellIs" dxfId="2793" priority="2701" operator="between">
      <formula>"SAFRA"</formula>
      <formula>"SAFRA"</formula>
    </cfRule>
    <cfRule type="cellIs" dxfId="2792" priority="2700" operator="between">
      <formula>"SAFRA"</formula>
      <formula>"SAFRA"</formula>
    </cfRule>
    <cfRule type="cellIs" dxfId="2791" priority="2699" operator="equal">
      <formula>"ITAÚ MATRIZ"</formula>
    </cfRule>
    <cfRule type="cellIs" dxfId="2790" priority="2698" operator="equal">
      <formula>"ITAÚ"</formula>
    </cfRule>
    <cfRule type="cellIs" dxfId="2789" priority="2697" operator="equal">
      <formula>"ITAÚ"</formula>
    </cfRule>
    <cfRule type="cellIs" dxfId="2788" priority="2696" operator="between">
      <formula>"ITAÚ MATRIZ"</formula>
      <formula>"ITAÚ MATRIZ"</formula>
    </cfRule>
    <cfRule type="cellIs" dxfId="2787" priority="2695" operator="between">
      <formula>"ITAÚ FILIAL"</formula>
      <formula>"ITAÚ FILIAL"</formula>
    </cfRule>
    <cfRule type="cellIs" dxfId="2786" priority="2694" operator="between">
      <formula>"ITAÚ FILIAL"</formula>
      <formula>"ITAÚ FILIAL"</formula>
    </cfRule>
    <cfRule type="cellIs" dxfId="2785" priority="2693" operator="between">
      <formula>"DAYCOVAL"</formula>
      <formula>"DAYCOVAL"</formula>
    </cfRule>
    <cfRule type="cellIs" dxfId="2784" priority="2692" operator="between">
      <formula>"SAFRA"</formula>
      <formula>"SAFRA"</formula>
    </cfRule>
    <cfRule type="cellIs" dxfId="2783" priority="2691" operator="between">
      <formula>"SAFRA"</formula>
      <formula>"SAFRA"</formula>
    </cfRule>
    <cfRule type="cellIs" dxfId="2782" priority="2690" operator="equal">
      <formula>"ITAÚ MATRIZ"</formula>
    </cfRule>
    <cfRule type="cellIs" dxfId="2781" priority="2689" operator="equal">
      <formula>"ITAÚ"</formula>
    </cfRule>
    <cfRule type="cellIs" dxfId="2780" priority="2688" operator="equal">
      <formula>"ITAÚ"</formula>
    </cfRule>
    <cfRule type="cellIs" dxfId="2779" priority="2687" operator="between">
      <formula>"ITAÚ MATRIZ"</formula>
      <formula>"ITAÚ MATRIZ"</formula>
    </cfRule>
    <cfRule type="cellIs" dxfId="2778" priority="2686" operator="between">
      <formula>"ITAÚ FILIAL"</formula>
      <formula>"ITAÚ FILIAL"</formula>
    </cfRule>
    <cfRule type="cellIs" dxfId="2777" priority="2685" operator="between">
      <formula>"ITAÚ FILIAL"</formula>
      <formula>"ITAÚ FILIAL"</formula>
    </cfRule>
    <cfRule type="cellIs" dxfId="2776" priority="2684" operator="between">
      <formula>"DAYCOVAL"</formula>
      <formula>"DAYCOVAL"</formula>
    </cfRule>
    <cfRule type="cellIs" dxfId="2775" priority="2683" operator="between">
      <formula>"SAFRA"</formula>
      <formula>"SAFRA"</formula>
    </cfRule>
    <cfRule type="cellIs" dxfId="2774" priority="2682" operator="between">
      <formula>"SAFRA"</formula>
      <formula>"SAFRA"</formula>
    </cfRule>
    <cfRule type="cellIs" dxfId="2773" priority="2681" operator="equal">
      <formula>"ITAÚ MATRIZ"</formula>
    </cfRule>
    <cfRule type="cellIs" dxfId="2772" priority="2680" operator="equal">
      <formula>"ITAÚ"</formula>
    </cfRule>
    <cfRule type="cellIs" dxfId="2771" priority="2679" operator="between">
      <formula>"ITAÚ MATRIZ"</formula>
      <formula>"ITAÚ MATRIZ"</formula>
    </cfRule>
    <cfRule type="cellIs" dxfId="2770" priority="2678" operator="equal">
      <formula>"ITAÚ MATRIZ"</formula>
    </cfRule>
    <cfRule type="cellIs" dxfId="2769" priority="2677" operator="equal">
      <formula>"ITAÚ"</formula>
    </cfRule>
    <cfRule type="cellIs" dxfId="2768" priority="2676" operator="between">
      <formula>"ITAÚ FILIAL"</formula>
      <formula>"ITAÚ FILIAL"</formula>
    </cfRule>
    <cfRule type="cellIs" dxfId="2767" priority="2675" operator="between">
      <formula>"ITAÚ FILIAL"</formula>
      <formula>"ITAÚ FILIAL"</formula>
    </cfRule>
    <cfRule type="cellIs" dxfId="2766" priority="2674" operator="between">
      <formula>"DAYCOVAL"</formula>
      <formula>"DAYCOVAL"</formula>
    </cfRule>
    <cfRule type="cellIs" dxfId="2765" priority="2673" operator="between">
      <formula>"SAFRA"</formula>
      <formula>"SAFRA"</formula>
    </cfRule>
    <cfRule type="cellIs" dxfId="2764" priority="2672" operator="between">
      <formula>"SAFRA"</formula>
      <formula>"SAFRA"</formula>
    </cfRule>
    <cfRule type="cellIs" dxfId="2763" priority="2671" operator="equal">
      <formula>"ITAÚ"</formula>
    </cfRule>
    <cfRule type="cellIs" dxfId="2762" priority="2670" operator="equal">
      <formula>"ITAÚ"</formula>
    </cfRule>
    <cfRule type="cellIs" dxfId="2761" priority="2669" operator="between">
      <formula>"ITAÚ MATRIZ"</formula>
      <formula>"ITAÚ MATRIZ"</formula>
    </cfRule>
    <cfRule type="cellIs" dxfId="2760" priority="2668" operator="between">
      <formula>"ITAÚ FILIAL"</formula>
      <formula>"ITAÚ FILIAL"</formula>
    </cfRule>
    <cfRule type="cellIs" dxfId="2759" priority="2667" operator="between">
      <formula>"ITAÚ FILIAL"</formula>
      <formula>"ITAÚ FILIAL"</formula>
    </cfRule>
    <cfRule type="cellIs" dxfId="2758" priority="2666" operator="between">
      <formula>"DAYCOVAL"</formula>
      <formula>"DAYCOVAL"</formula>
    </cfRule>
    <cfRule type="cellIs" dxfId="2757" priority="2665" operator="between">
      <formula>"SAFRA"</formula>
      <formula>"SAFRA"</formula>
    </cfRule>
    <cfRule type="cellIs" dxfId="2756" priority="2664" operator="between">
      <formula>"SAFRA"</formula>
      <formula>"SAFRA"</formula>
    </cfRule>
    <cfRule type="cellIs" dxfId="2755" priority="2663" operator="equal">
      <formula>"ITAÚ MATRIZ"</formula>
    </cfRule>
    <cfRule type="cellIs" dxfId="2754" priority="2662" operator="equal">
      <formula>"ITAÚ"</formula>
    </cfRule>
    <cfRule type="cellIs" dxfId="2753" priority="2661" operator="between">
      <formula>"ITAÚ MATRIZ"</formula>
      <formula>"ITAÚ MATRIZ"</formula>
    </cfRule>
    <cfRule type="cellIs" dxfId="2752" priority="2660" operator="equal">
      <formula>"ITAÚ MATRIZ"</formula>
    </cfRule>
    <cfRule type="cellIs" dxfId="2751" priority="2659" operator="equal">
      <formula>"ITAÚ"</formula>
    </cfRule>
    <cfRule type="cellIs" dxfId="2750" priority="2658" operator="between">
      <formula>"ITAÚ FILIAL"</formula>
      <formula>"ITAÚ FILIAL"</formula>
    </cfRule>
    <cfRule type="cellIs" dxfId="2749" priority="2657" operator="between">
      <formula>"ITAÚ FILIAL"</formula>
      <formula>"ITAÚ FILIAL"</formula>
    </cfRule>
    <cfRule type="cellIs" dxfId="2748" priority="2656" operator="between">
      <formula>"DAYCOVAL"</formula>
      <formula>"DAYCOVAL"</formula>
    </cfRule>
    <cfRule type="cellIs" dxfId="2747" priority="2655" operator="between">
      <formula>"SAFRA"</formula>
      <formula>"SAFRA"</formula>
    </cfRule>
    <cfRule type="cellIs" dxfId="2746" priority="2654" operator="between">
      <formula>"SAFRA"</formula>
      <formula>"SAFRA"</formula>
    </cfRule>
    <cfRule type="cellIs" dxfId="2745" priority="2653" operator="equal">
      <formula>"ITAÚ"</formula>
    </cfRule>
    <cfRule type="cellIs" dxfId="2744" priority="2652" operator="equal">
      <formula>"ITAÚ"</formula>
    </cfRule>
    <cfRule type="cellIs" dxfId="2743" priority="2651" operator="between">
      <formula>"ITAÚ MATRIZ"</formula>
      <formula>"ITAÚ MATRIZ"</formula>
    </cfRule>
    <cfRule type="cellIs" dxfId="2742" priority="2650" operator="between">
      <formula>"ITAÚ FILIAL"</formula>
      <formula>"ITAÚ FILIAL"</formula>
    </cfRule>
    <cfRule type="cellIs" dxfId="2741" priority="2649" operator="between">
      <formula>"ITAÚ FILIAL"</formula>
      <formula>"ITAÚ FILIAL"</formula>
    </cfRule>
    <cfRule type="cellIs" dxfId="2740" priority="2648" operator="between">
      <formula>"DAYCOVAL"</formula>
      <formula>"DAYCOVAL"</formula>
    </cfRule>
    <cfRule type="cellIs" dxfId="2739" priority="2647" operator="between">
      <formula>"SAFRA"</formula>
      <formula>"SAFRA"</formula>
    </cfRule>
    <cfRule type="cellIs" dxfId="2738" priority="2646" operator="between">
      <formula>"SAFRA"</formula>
      <formula>"SAFRA"</formula>
    </cfRule>
    <cfRule type="cellIs" dxfId="2737" priority="2645" operator="equal">
      <formula>"ITAÚ MATRIZ"</formula>
    </cfRule>
    <cfRule type="cellIs" dxfId="2736" priority="2644" operator="equal">
      <formula>"ITAÚ"</formula>
    </cfRule>
    <cfRule type="cellIs" dxfId="2735" priority="2643" operator="equal">
      <formula>"ITAÚ"</formula>
    </cfRule>
    <cfRule type="cellIs" dxfId="2734" priority="2642" operator="between">
      <formula>"ITAÚ MATRIZ"</formula>
      <formula>"ITAÚ MATRIZ"</formula>
    </cfRule>
    <cfRule type="cellIs" dxfId="2733" priority="2641" operator="between">
      <formula>"ITAÚ FILIAL"</formula>
      <formula>"ITAÚ FILIAL"</formula>
    </cfRule>
    <cfRule type="cellIs" dxfId="2732" priority="2640" operator="between">
      <formula>"ITAÚ FILIAL"</formula>
      <formula>"ITAÚ FILIAL"</formula>
    </cfRule>
    <cfRule type="cellIs" dxfId="2731" priority="2639" operator="between">
      <formula>"DAYCOVAL"</formula>
      <formula>"DAYCOVAL"</formula>
    </cfRule>
    <cfRule type="cellIs" dxfId="2730" priority="2638" operator="between">
      <formula>"SAFRA"</formula>
      <formula>"SAFRA"</formula>
    </cfRule>
    <cfRule type="cellIs" dxfId="2729" priority="2637" operator="between">
      <formula>"SAFRA"</formula>
      <formula>"SAFRA"</formula>
    </cfRule>
    <cfRule type="cellIs" dxfId="2728" priority="2636" operator="equal">
      <formula>"ITAÚ MATRIZ"</formula>
    </cfRule>
    <cfRule type="cellIs" dxfId="2727" priority="2635" operator="equal">
      <formula>"ITAÚ"</formula>
    </cfRule>
    <cfRule type="cellIs" dxfId="2726" priority="2634" operator="equal">
      <formula>"ITAÚ"</formula>
    </cfRule>
    <cfRule type="cellIs" dxfId="2725" priority="2633" operator="between">
      <formula>"ITAÚ MATRIZ"</formula>
      <formula>"ITAÚ MATRIZ"</formula>
    </cfRule>
    <cfRule type="cellIs" dxfId="2724" priority="2632" operator="between">
      <formula>"ITAÚ FILIAL"</formula>
      <formula>"ITAÚ FILIAL"</formula>
    </cfRule>
    <cfRule type="cellIs" dxfId="2723" priority="2631" operator="between">
      <formula>"ITAÚ FILIAL"</formula>
      <formula>"ITAÚ FILIAL"</formula>
    </cfRule>
    <cfRule type="cellIs" dxfId="2722" priority="2630" operator="between">
      <formula>"DAYCOVAL"</formula>
      <formula>"DAYCOVAL"</formula>
    </cfRule>
    <cfRule type="cellIs" dxfId="2721" priority="2629" operator="between">
      <formula>"SAFRA"</formula>
      <formula>"SAFRA"</formula>
    </cfRule>
    <cfRule type="cellIs" dxfId="2720" priority="2628" operator="between">
      <formula>"SAFRA"</formula>
      <formula>"SAFRA"</formula>
    </cfRule>
    <cfRule type="cellIs" dxfId="2719" priority="2627" operator="equal">
      <formula>"ITAÚ MATRIZ"</formula>
    </cfRule>
    <cfRule type="cellIs" dxfId="2718" priority="2626" operator="equal">
      <formula>"ITAÚ"</formula>
    </cfRule>
    <cfRule type="cellIs" dxfId="2717" priority="2625" operator="equal">
      <formula>"ITAÚ"</formula>
    </cfRule>
    <cfRule type="cellIs" dxfId="2716" priority="2624" operator="between">
      <formula>"ITAÚ MATRIZ"</formula>
      <formula>"ITAÚ MATRIZ"</formula>
    </cfRule>
    <cfRule type="cellIs" dxfId="2715" priority="2623" operator="between">
      <formula>"ITAÚ FILIAL"</formula>
      <formula>"ITAÚ FILIAL"</formula>
    </cfRule>
    <cfRule type="cellIs" dxfId="2714" priority="2622" operator="between">
      <formula>"ITAÚ FILIAL"</formula>
      <formula>"ITAÚ FILIAL"</formula>
    </cfRule>
    <cfRule type="cellIs" dxfId="2713" priority="2621" operator="between">
      <formula>"DAYCOVAL"</formula>
      <formula>"DAYCOVAL"</formula>
    </cfRule>
    <cfRule type="cellIs" dxfId="2712" priority="2620" operator="between">
      <formula>"SAFRA"</formula>
      <formula>"SAFRA"</formula>
    </cfRule>
    <cfRule type="cellIs" dxfId="2711" priority="2619" operator="between">
      <formula>"SAFRA"</formula>
      <formula>"SAFRA"</formula>
    </cfRule>
    <cfRule type="cellIs" dxfId="2710" priority="2618" operator="equal">
      <formula>"ITAÚ MATRIZ"</formula>
    </cfRule>
    <cfRule type="cellIs" dxfId="2709" priority="2617" operator="equal">
      <formula>"ITAÚ"</formula>
    </cfRule>
    <cfRule type="cellIs" dxfId="2708" priority="2616" operator="equal">
      <formula>"ITAÚ"</formula>
    </cfRule>
    <cfRule type="cellIs" dxfId="2707" priority="2615" operator="between">
      <formula>"ITAÚ MATRIZ"</formula>
      <formula>"ITAÚ MATRIZ"</formula>
    </cfRule>
    <cfRule type="cellIs" dxfId="2706" priority="2614" operator="between">
      <formula>"ITAÚ FILIAL"</formula>
      <formula>"ITAÚ FILIAL"</formula>
    </cfRule>
    <cfRule type="cellIs" dxfId="2705" priority="2613" operator="between">
      <formula>"ITAÚ FILIAL"</formula>
      <formula>"ITAÚ FILIAL"</formula>
    </cfRule>
    <cfRule type="cellIs" dxfId="2704" priority="2612" operator="between">
      <formula>"DAYCOVAL"</formula>
      <formula>"DAYCOVAL"</formula>
    </cfRule>
    <cfRule type="cellIs" dxfId="2703" priority="2611" operator="between">
      <formula>"SAFRA"</formula>
      <formula>"SAFRA"</formula>
    </cfRule>
    <cfRule type="cellIs" dxfId="2702" priority="2610" operator="between">
      <formula>"SAFRA"</formula>
      <formula>"SAFRA"</formula>
    </cfRule>
    <cfRule type="cellIs" dxfId="2701" priority="2609" operator="equal">
      <formula>"ITAÚ MATRIZ"</formula>
    </cfRule>
    <cfRule type="cellIs" dxfId="2700" priority="2608" operator="equal">
      <formula>"ITAÚ"</formula>
    </cfRule>
    <cfRule type="cellIs" dxfId="2699" priority="2607" operator="between">
      <formula>"ITAÚ MATRIZ"</formula>
      <formula>"ITAÚ MATRIZ"</formula>
    </cfRule>
    <cfRule type="cellIs" dxfId="2698" priority="2606" operator="equal">
      <formula>"ITAÚ MATRIZ"</formula>
    </cfRule>
    <cfRule type="cellIs" dxfId="2697" priority="2605" operator="equal">
      <formula>"ITAÚ"</formula>
    </cfRule>
    <cfRule type="cellIs" dxfId="2696" priority="2604" operator="between">
      <formula>"ITAÚ FILIAL"</formula>
      <formula>"ITAÚ FILIAL"</formula>
    </cfRule>
    <cfRule type="cellIs" dxfId="2695" priority="2603" operator="between">
      <formula>"ITAÚ FILIAL"</formula>
      <formula>"ITAÚ FILIAL"</formula>
    </cfRule>
    <cfRule type="cellIs" dxfId="2694" priority="2602" operator="between">
      <formula>"DAYCOVAL"</formula>
      <formula>"DAYCOVAL"</formula>
    </cfRule>
    <cfRule type="cellIs" dxfId="2693" priority="2601" operator="between">
      <formula>"SAFRA"</formula>
      <formula>"SAFRA"</formula>
    </cfRule>
    <cfRule type="cellIs" dxfId="2692" priority="2600" operator="between">
      <formula>"SAFRA"</formula>
      <formula>"SAFRA"</formula>
    </cfRule>
    <cfRule type="cellIs" dxfId="2691" priority="2599" operator="equal">
      <formula>"ITAÚ"</formula>
    </cfRule>
    <cfRule type="cellIs" dxfId="2690" priority="2598" operator="equal">
      <formula>"ITAÚ"</formula>
    </cfRule>
    <cfRule type="cellIs" dxfId="2689" priority="2597" operator="between">
      <formula>"ITAÚ MATRIZ"</formula>
      <formula>"ITAÚ MATRIZ"</formula>
    </cfRule>
    <cfRule type="cellIs" dxfId="2688" priority="2596" operator="between">
      <formula>"ITAÚ FILIAL"</formula>
      <formula>"ITAÚ FILIAL"</formula>
    </cfRule>
    <cfRule type="cellIs" dxfId="2687" priority="2595" operator="between">
      <formula>"ITAÚ FILIAL"</formula>
      <formula>"ITAÚ FILIAL"</formula>
    </cfRule>
    <cfRule type="cellIs" dxfId="2686" priority="2594" operator="between">
      <formula>"DAYCOVAL"</formula>
      <formula>"DAYCOVAL"</formula>
    </cfRule>
    <cfRule type="cellIs" dxfId="2685" priority="2593" operator="between">
      <formula>"SAFRA"</formula>
      <formula>"SAFRA"</formula>
    </cfRule>
    <cfRule type="cellIs" dxfId="2684" priority="2592" operator="between">
      <formula>"SAFRA"</formula>
      <formula>"SAFRA"</formula>
    </cfRule>
    <cfRule type="cellIs" dxfId="2683" priority="2591" operator="equal">
      <formula>"ITAÚ MATRIZ"</formula>
    </cfRule>
    <cfRule type="cellIs" dxfId="2682" priority="2590" operator="equal">
      <formula>"ITAÚ"</formula>
    </cfRule>
    <cfRule type="cellIs" dxfId="2681" priority="2367" operator="between">
      <formula>"ITAÚ FILIAL"</formula>
      <formula>"ITAÚ FILIAL"</formula>
    </cfRule>
    <cfRule type="cellIs" dxfId="2680" priority="2371" operator="equal">
      <formula>"ITAÚ MATRIZ"</formula>
    </cfRule>
    <cfRule type="cellIs" dxfId="2679" priority="2372" operator="between">
      <formula>"SAFRA"</formula>
      <formula>"SAFRA"</formula>
    </cfRule>
    <cfRule type="cellIs" dxfId="2678" priority="2589" operator="equal">
      <formula>"ITAÚ"</formula>
    </cfRule>
    <cfRule type="cellIs" dxfId="2677" priority="2588" operator="between">
      <formula>"ITAÚ MATRIZ"</formula>
      <formula>"ITAÚ MATRIZ"</formula>
    </cfRule>
    <cfRule type="cellIs" dxfId="2676" priority="2373" operator="between">
      <formula>"SAFRA"</formula>
      <formula>"SAFRA"</formula>
    </cfRule>
    <cfRule type="cellIs" dxfId="2675" priority="2374" operator="between">
      <formula>"DAYCOVAL"</formula>
      <formula>"DAYCOVAL"</formula>
    </cfRule>
    <cfRule type="cellIs" dxfId="2674" priority="2587" operator="between">
      <formula>"ITAÚ FILIAL"</formula>
      <formula>"ITAÚ FILIAL"</formula>
    </cfRule>
    <cfRule type="cellIs" dxfId="2673" priority="2368" operator="between">
      <formula>"ITAÚ MATRIZ"</formula>
      <formula>"ITAÚ MATRIZ"</formula>
    </cfRule>
    <cfRule type="cellIs" dxfId="2672" priority="2776" operator="equal">
      <formula>"ITAÚ"</formula>
    </cfRule>
    <cfRule type="cellIs" dxfId="2671" priority="2777" operator="equal">
      <formula>"ITAÚ MATRIZ"</formula>
    </cfRule>
    <cfRule type="cellIs" dxfId="2670" priority="2778" operator="between">
      <formula>"ITAÚ MATRIZ"</formula>
      <formula>"ITAÚ MATRIZ"</formula>
    </cfRule>
    <cfRule type="cellIs" dxfId="2669" priority="2585" operator="between">
      <formula>"DAYCOVAL"</formula>
      <formula>"DAYCOVAL"</formula>
    </cfRule>
    <cfRule type="cellIs" dxfId="2668" priority="2584" operator="between">
      <formula>"SAFRA"</formula>
      <formula>"SAFRA"</formula>
    </cfRule>
    <cfRule type="cellIs" dxfId="2667" priority="2583" operator="between">
      <formula>"SAFRA"</formula>
      <formula>"SAFRA"</formula>
    </cfRule>
    <cfRule type="cellIs" dxfId="2666" priority="2582" operator="equal">
      <formula>"ITAÚ MATRIZ"</formula>
    </cfRule>
    <cfRule type="cellIs" dxfId="2665" priority="2559" operator="equal">
      <formula>"ITAÚ"</formula>
    </cfRule>
    <cfRule type="cellIs" dxfId="2664" priority="2558" operator="between">
      <formula>"ITAÚ MATRIZ"</formula>
      <formula>"ITAÚ MATRIZ"</formula>
    </cfRule>
    <cfRule type="cellIs" dxfId="2663" priority="2557" operator="equal">
      <formula>"ITAÚ MATRIZ"</formula>
    </cfRule>
    <cfRule type="cellIs" dxfId="2662" priority="2556" operator="equal">
      <formula>"ITAÚ"</formula>
    </cfRule>
    <cfRule type="cellIs" dxfId="2661" priority="2555" operator="between">
      <formula>"ITAÚ FILIAL"</formula>
      <formula>"ITAÚ FILIAL"</formula>
    </cfRule>
    <cfRule type="cellIs" dxfId="2660" priority="2554" operator="between">
      <formula>"ITAÚ FILIAL"</formula>
      <formula>"ITAÚ FILIAL"</formula>
    </cfRule>
    <cfRule type="cellIs" dxfId="2659" priority="2553" operator="between">
      <formula>"DAYCOVAL"</formula>
      <formula>"DAYCOVAL"</formula>
    </cfRule>
    <cfRule type="cellIs" dxfId="2658" priority="2552" operator="between">
      <formula>"SAFRA"</formula>
      <formula>"SAFRA"</formula>
    </cfRule>
    <cfRule type="cellIs" dxfId="2657" priority="2551" operator="between">
      <formula>"SAFRA"</formula>
      <formula>"SAFRA"</formula>
    </cfRule>
    <cfRule type="cellIs" dxfId="2656" priority="2550" operator="equal">
      <formula>"ITAÚ"</formula>
    </cfRule>
    <cfRule type="cellIs" dxfId="2655" priority="2549" operator="between">
      <formula>"ITAÚ MATRIZ"</formula>
      <formula>"ITAÚ MATRIZ"</formula>
    </cfRule>
    <cfRule type="cellIs" dxfId="2654" priority="2548" operator="equal">
      <formula>"ITAÚ MATRIZ"</formula>
    </cfRule>
    <cfRule type="cellIs" dxfId="2653" priority="2547" operator="equal">
      <formula>"ITAÚ"</formula>
    </cfRule>
    <cfRule type="cellIs" dxfId="2652" priority="2546" operator="between">
      <formula>"ITAÚ FILIAL"</formula>
      <formula>"ITAÚ FILIAL"</formula>
    </cfRule>
    <cfRule type="cellIs" dxfId="2651" priority="2545" operator="between">
      <formula>"ITAÚ FILIAL"</formula>
      <formula>"ITAÚ FILIAL"</formula>
    </cfRule>
    <cfRule type="cellIs" dxfId="2650" priority="2544" operator="between">
      <formula>"DAYCOVAL"</formula>
      <formula>"DAYCOVAL"</formula>
    </cfRule>
    <cfRule type="cellIs" dxfId="2649" priority="2543" operator="between">
      <formula>"SAFRA"</formula>
      <formula>"SAFRA"</formula>
    </cfRule>
    <cfRule type="cellIs" dxfId="2648" priority="2542" operator="between">
      <formula>"SAFRA"</formula>
      <formula>"SAFRA"</formula>
    </cfRule>
    <cfRule type="cellIs" dxfId="2647" priority="2541" operator="equal">
      <formula>"ITAÚ"</formula>
    </cfRule>
    <cfRule type="cellIs" dxfId="2646" priority="2540" operator="equal">
      <formula>"ITAÚ"</formula>
    </cfRule>
    <cfRule type="cellIs" dxfId="2645" priority="2539" operator="between">
      <formula>"ITAÚ MATRIZ"</formula>
      <formula>"ITAÚ MATRIZ"</formula>
    </cfRule>
    <cfRule type="cellIs" dxfId="2644" priority="2538" operator="between">
      <formula>"ITAÚ FILIAL"</formula>
      <formula>"ITAÚ FILIAL"</formula>
    </cfRule>
    <cfRule type="cellIs" dxfId="2643" priority="2537" operator="between">
      <formula>"ITAÚ FILIAL"</formula>
      <formula>"ITAÚ FILIAL"</formula>
    </cfRule>
    <cfRule type="cellIs" dxfId="2642" priority="2536" operator="between">
      <formula>"DAYCOVAL"</formula>
      <formula>"DAYCOVAL"</formula>
    </cfRule>
    <cfRule type="cellIs" dxfId="2641" priority="2535" operator="between">
      <formula>"SAFRA"</formula>
      <formula>"SAFRA"</formula>
    </cfRule>
    <cfRule type="cellIs" dxfId="2640" priority="2534" operator="between">
      <formula>"SAFRA"</formula>
      <formula>"SAFRA"</formula>
    </cfRule>
    <cfRule type="cellIs" dxfId="2639" priority="2533" operator="equal">
      <formula>"ITAÚ MATRIZ"</formula>
    </cfRule>
    <cfRule type="cellIs" dxfId="2638" priority="2532" operator="equal">
      <formula>"ITAÚ"</formula>
    </cfRule>
    <cfRule type="cellIs" dxfId="2637" priority="2531" operator="between">
      <formula>"ITAÚ MATRIZ"</formula>
      <formula>"ITAÚ MATRIZ"</formula>
    </cfRule>
    <cfRule type="cellIs" dxfId="2636" priority="2530" operator="equal">
      <formula>"ITAÚ MATRIZ"</formula>
    </cfRule>
    <cfRule type="cellIs" dxfId="2635" priority="2529" operator="equal">
      <formula>"ITAÚ"</formula>
    </cfRule>
    <cfRule type="cellIs" dxfId="2634" priority="2528" operator="between">
      <formula>"ITAÚ FILIAL"</formula>
      <formula>"ITAÚ FILIAL"</formula>
    </cfRule>
    <cfRule type="cellIs" dxfId="2633" priority="2527" operator="between">
      <formula>"ITAÚ FILIAL"</formula>
      <formula>"ITAÚ FILIAL"</formula>
    </cfRule>
    <cfRule type="cellIs" dxfId="2632" priority="2526" operator="between">
      <formula>"DAYCOVAL"</formula>
      <formula>"DAYCOVAL"</formula>
    </cfRule>
    <cfRule type="cellIs" dxfId="2631" priority="2525" operator="between">
      <formula>"SAFRA"</formula>
      <formula>"SAFRA"</formula>
    </cfRule>
    <cfRule type="cellIs" dxfId="2630" priority="2524" operator="between">
      <formula>"SAFRA"</formula>
      <formula>"SAFRA"</formula>
    </cfRule>
    <cfRule type="cellIs" dxfId="2629" priority="2523" operator="equal">
      <formula>"ITAÚ"</formula>
    </cfRule>
    <cfRule type="cellIs" dxfId="2628" priority="2522" operator="equal">
      <formula>"ITAÚ"</formula>
    </cfRule>
    <cfRule type="cellIs" dxfId="2627" priority="2521" operator="between">
      <formula>"ITAÚ MATRIZ"</formula>
      <formula>"ITAÚ MATRIZ"</formula>
    </cfRule>
    <cfRule type="cellIs" dxfId="2626" priority="2520" operator="between">
      <formula>"ITAÚ FILIAL"</formula>
      <formula>"ITAÚ FILIAL"</formula>
    </cfRule>
    <cfRule type="cellIs" dxfId="2625" priority="2519" operator="between">
      <formula>"ITAÚ FILIAL"</formula>
      <formula>"ITAÚ FILIAL"</formula>
    </cfRule>
    <cfRule type="cellIs" dxfId="2624" priority="2518" operator="between">
      <formula>"DAYCOVAL"</formula>
      <formula>"DAYCOVAL"</formula>
    </cfRule>
    <cfRule type="cellIs" dxfId="2623" priority="2517" operator="between">
      <formula>"SAFRA"</formula>
      <formula>"SAFRA"</formula>
    </cfRule>
    <cfRule type="cellIs" dxfId="2622" priority="2516" operator="between">
      <formula>"SAFRA"</formula>
      <formula>"SAFRA"</formula>
    </cfRule>
    <cfRule type="cellIs" dxfId="2621" priority="2515" operator="equal">
      <formula>"ITAÚ MATRIZ"</formula>
    </cfRule>
    <cfRule type="cellIs" dxfId="2620" priority="2514" operator="equal">
      <formula>"ITAÚ"</formula>
    </cfRule>
    <cfRule type="cellIs" dxfId="2619" priority="2513" operator="between">
      <formula>"ITAÚ MATRIZ"</formula>
      <formula>"ITAÚ MATRIZ"</formula>
    </cfRule>
    <cfRule type="cellIs" dxfId="2618" priority="2512" operator="equal">
      <formula>"ITAÚ MATRIZ"</formula>
    </cfRule>
    <cfRule type="cellIs" dxfId="2617" priority="2511" operator="equal">
      <formula>"ITAÚ"</formula>
    </cfRule>
    <cfRule type="cellIs" dxfId="2616" priority="2510" operator="between">
      <formula>"ITAÚ FILIAL"</formula>
      <formula>"ITAÚ FILIAL"</formula>
    </cfRule>
    <cfRule type="cellIs" dxfId="2615" priority="2509" operator="between">
      <formula>"ITAÚ FILIAL"</formula>
      <formula>"ITAÚ FILIAL"</formula>
    </cfRule>
    <cfRule type="cellIs" dxfId="2614" priority="2508" operator="between">
      <formula>"DAYCOVAL"</formula>
      <formula>"DAYCOVAL"</formula>
    </cfRule>
    <cfRule type="cellIs" dxfId="2613" priority="2507" operator="between">
      <formula>"SAFRA"</formula>
      <formula>"SAFRA"</formula>
    </cfRule>
    <cfRule type="cellIs" dxfId="2612" priority="2506" operator="between">
      <formula>"SAFRA"</formula>
      <formula>"SAFRA"</formula>
    </cfRule>
    <cfRule type="cellIs" dxfId="2611" priority="2505" operator="equal">
      <formula>"ITAÚ"</formula>
    </cfRule>
    <cfRule type="cellIs" dxfId="2610" priority="2504" operator="equal">
      <formula>"ITAÚ"</formula>
    </cfRule>
    <cfRule type="cellIs" dxfId="2609" priority="2503" operator="between">
      <formula>"ITAÚ MATRIZ"</formula>
      <formula>"ITAÚ MATRIZ"</formula>
    </cfRule>
    <cfRule type="cellIs" dxfId="2608" priority="2502" operator="between">
      <formula>"ITAÚ FILIAL"</formula>
      <formula>"ITAÚ FILIAL"</formula>
    </cfRule>
    <cfRule type="cellIs" dxfId="2607" priority="2501" operator="between">
      <formula>"ITAÚ FILIAL"</formula>
      <formula>"ITAÚ FILIAL"</formula>
    </cfRule>
    <cfRule type="cellIs" dxfId="2606" priority="2500" operator="between">
      <formula>"DAYCOVAL"</formula>
      <formula>"DAYCOVAL"</formula>
    </cfRule>
    <cfRule type="cellIs" dxfId="2605" priority="2499" operator="between">
      <formula>"SAFRA"</formula>
      <formula>"SAFRA"</formula>
    </cfRule>
    <cfRule type="cellIs" dxfId="2604" priority="2498" operator="between">
      <formula>"SAFRA"</formula>
      <formula>"SAFRA"</formula>
    </cfRule>
    <cfRule type="cellIs" dxfId="2603" priority="2497" operator="equal">
      <formula>"ITAÚ MATRIZ"</formula>
    </cfRule>
    <cfRule type="cellIs" dxfId="2602" priority="2496" operator="equal">
      <formula>"ITAÚ"</formula>
    </cfRule>
    <cfRule type="cellIs" dxfId="2601" priority="2495" operator="equal">
      <formula>"ITAÚ"</formula>
    </cfRule>
    <cfRule type="cellIs" dxfId="2600" priority="2494" operator="between">
      <formula>"ITAÚ MATRIZ"</formula>
      <formula>"ITAÚ MATRIZ"</formula>
    </cfRule>
    <cfRule type="cellIs" dxfId="2599" priority="2493" operator="between">
      <formula>"ITAÚ FILIAL"</formula>
      <formula>"ITAÚ FILIAL"</formula>
    </cfRule>
    <cfRule type="cellIs" dxfId="2598" priority="2492" operator="between">
      <formula>"ITAÚ FILIAL"</formula>
      <formula>"ITAÚ FILIAL"</formula>
    </cfRule>
    <cfRule type="cellIs" dxfId="2597" priority="2491" operator="between">
      <formula>"DAYCOVAL"</formula>
      <formula>"DAYCOVAL"</formula>
    </cfRule>
    <cfRule type="cellIs" dxfId="2596" priority="2490" operator="between">
      <formula>"SAFRA"</formula>
      <formula>"SAFRA"</formula>
    </cfRule>
    <cfRule type="cellIs" dxfId="2595" priority="2489" operator="between">
      <formula>"SAFRA"</formula>
      <formula>"SAFRA"</formula>
    </cfRule>
    <cfRule type="cellIs" dxfId="2594" priority="2488" operator="equal">
      <formula>"ITAÚ MATRIZ"</formula>
    </cfRule>
    <cfRule type="cellIs" dxfId="2593" priority="2487" operator="equal">
      <formula>"ITAÚ"</formula>
    </cfRule>
    <cfRule type="cellIs" dxfId="2592" priority="2486" operator="equal">
      <formula>"ITAÚ"</formula>
    </cfRule>
    <cfRule type="cellIs" dxfId="2591" priority="2485" operator="between">
      <formula>"ITAÚ MATRIZ"</formula>
      <formula>"ITAÚ MATRIZ"</formula>
    </cfRule>
    <cfRule type="cellIs" dxfId="2590" priority="2484" operator="between">
      <formula>"ITAÚ FILIAL"</formula>
      <formula>"ITAÚ FILIAL"</formula>
    </cfRule>
    <cfRule type="cellIs" dxfId="2589" priority="2483" operator="between">
      <formula>"ITAÚ FILIAL"</formula>
      <formula>"ITAÚ FILIAL"</formula>
    </cfRule>
    <cfRule type="cellIs" dxfId="2588" priority="2482" operator="between">
      <formula>"DAYCOVAL"</formula>
      <formula>"DAYCOVAL"</formula>
    </cfRule>
    <cfRule type="cellIs" dxfId="2587" priority="2481" operator="between">
      <formula>"SAFRA"</formula>
      <formula>"SAFRA"</formula>
    </cfRule>
    <cfRule type="cellIs" dxfId="2586" priority="2480" operator="between">
      <formula>"SAFRA"</formula>
      <formula>"SAFRA"</formula>
    </cfRule>
    <cfRule type="cellIs" dxfId="2585" priority="2479" operator="equal">
      <formula>"ITAÚ MATRIZ"</formula>
    </cfRule>
    <cfRule type="cellIs" dxfId="2584" priority="2478" operator="equal">
      <formula>"ITAÚ"</formula>
    </cfRule>
    <cfRule type="cellIs" dxfId="2583" priority="2477" operator="equal">
      <formula>"ITAÚ"</formula>
    </cfRule>
    <cfRule type="cellIs" dxfId="2582" priority="2476" operator="between">
      <formula>"ITAÚ MATRIZ"</formula>
      <formula>"ITAÚ MATRIZ"</formula>
    </cfRule>
    <cfRule type="cellIs" dxfId="2581" priority="2475" operator="between">
      <formula>"ITAÚ FILIAL"</formula>
      <formula>"ITAÚ FILIAL"</formula>
    </cfRule>
    <cfRule type="cellIs" dxfId="2580" priority="2474" operator="between">
      <formula>"ITAÚ FILIAL"</formula>
      <formula>"ITAÚ FILIAL"</formula>
    </cfRule>
    <cfRule type="cellIs" dxfId="2579" priority="2473" operator="between">
      <formula>"DAYCOVAL"</formula>
      <formula>"DAYCOVAL"</formula>
    </cfRule>
    <cfRule type="cellIs" dxfId="2578" priority="2472" operator="between">
      <formula>"SAFRA"</formula>
      <formula>"SAFRA"</formula>
    </cfRule>
    <cfRule type="cellIs" dxfId="2577" priority="2471" operator="between">
      <formula>"SAFRA"</formula>
      <formula>"SAFRA"</formula>
    </cfRule>
    <cfRule type="cellIs" dxfId="2576" priority="2470" operator="equal">
      <formula>"ITAÚ MATRIZ"</formula>
    </cfRule>
    <cfRule type="cellIs" dxfId="2575" priority="2469" operator="equal">
      <formula>"ITAÚ"</formula>
    </cfRule>
    <cfRule type="cellIs" dxfId="2574" priority="2468" operator="equal">
      <formula>"ITAÚ"</formula>
    </cfRule>
    <cfRule type="cellIs" dxfId="2573" priority="2467" operator="between">
      <formula>"ITAÚ MATRIZ"</formula>
      <formula>"ITAÚ MATRIZ"</formula>
    </cfRule>
    <cfRule type="cellIs" dxfId="2572" priority="2466" operator="between">
      <formula>"ITAÚ FILIAL"</formula>
      <formula>"ITAÚ FILIAL"</formula>
    </cfRule>
    <cfRule type="cellIs" dxfId="2571" priority="2465" operator="between">
      <formula>"ITAÚ FILIAL"</formula>
      <formula>"ITAÚ FILIAL"</formula>
    </cfRule>
    <cfRule type="cellIs" dxfId="2570" priority="2464" operator="between">
      <formula>"DAYCOVAL"</formula>
      <formula>"DAYCOVAL"</formula>
    </cfRule>
    <cfRule type="cellIs" dxfId="2569" priority="2463" operator="between">
      <formula>"SAFRA"</formula>
      <formula>"SAFRA"</formula>
    </cfRule>
    <cfRule type="cellIs" dxfId="2568" priority="2462" operator="between">
      <formula>"SAFRA"</formula>
      <formula>"SAFRA"</formula>
    </cfRule>
    <cfRule type="cellIs" dxfId="2567" priority="2461" operator="equal">
      <formula>"ITAÚ MATRIZ"</formula>
    </cfRule>
    <cfRule type="cellIs" dxfId="2566" priority="2460" operator="equal">
      <formula>"ITAÚ"</formula>
    </cfRule>
    <cfRule type="cellIs" dxfId="2565" priority="2459" operator="between">
      <formula>"ITAÚ MATRIZ"</formula>
      <formula>"ITAÚ MATRIZ"</formula>
    </cfRule>
    <cfRule type="cellIs" dxfId="2564" priority="2458" operator="equal">
      <formula>"ITAÚ MATRIZ"</formula>
    </cfRule>
    <cfRule type="cellIs" dxfId="2563" priority="2457" operator="equal">
      <formula>"ITAÚ"</formula>
    </cfRule>
    <cfRule type="cellIs" dxfId="2562" priority="2456" operator="between">
      <formula>"ITAÚ FILIAL"</formula>
      <formula>"ITAÚ FILIAL"</formula>
    </cfRule>
    <cfRule type="cellIs" dxfId="2561" priority="2455" operator="between">
      <formula>"ITAÚ FILIAL"</formula>
      <formula>"ITAÚ FILIAL"</formula>
    </cfRule>
    <cfRule type="cellIs" dxfId="2560" priority="2454" operator="between">
      <formula>"DAYCOVAL"</formula>
      <formula>"DAYCOVAL"</formula>
    </cfRule>
    <cfRule type="cellIs" dxfId="2559" priority="2453" operator="between">
      <formula>"SAFRA"</formula>
      <formula>"SAFRA"</formula>
    </cfRule>
    <cfRule type="cellIs" dxfId="2558" priority="2452" operator="between">
      <formula>"SAFRA"</formula>
      <formula>"SAFRA"</formula>
    </cfRule>
    <cfRule type="cellIs" dxfId="2557" priority="2451" operator="equal">
      <formula>"ITAÚ"</formula>
    </cfRule>
    <cfRule type="cellIs" dxfId="2556" priority="2450" operator="equal">
      <formula>"ITAÚ"</formula>
    </cfRule>
    <cfRule type="cellIs" dxfId="2555" priority="2449" operator="between">
      <formula>"ITAÚ MATRIZ"</formula>
      <formula>"ITAÚ MATRIZ"</formula>
    </cfRule>
    <cfRule type="cellIs" dxfId="2554" priority="2448" operator="between">
      <formula>"ITAÚ FILIAL"</formula>
      <formula>"ITAÚ FILIAL"</formula>
    </cfRule>
    <cfRule type="cellIs" dxfId="2553" priority="2447" operator="between">
      <formula>"ITAÚ FILIAL"</formula>
      <formula>"ITAÚ FILIAL"</formula>
    </cfRule>
    <cfRule type="cellIs" dxfId="2552" priority="2446" operator="between">
      <formula>"DAYCOVAL"</formula>
      <formula>"DAYCOVAL"</formula>
    </cfRule>
    <cfRule type="cellIs" dxfId="2551" priority="2445" operator="between">
      <formula>"SAFRA"</formula>
      <formula>"SAFRA"</formula>
    </cfRule>
    <cfRule type="cellIs" dxfId="2550" priority="2444" operator="between">
      <formula>"SAFRA"</formula>
      <formula>"SAFRA"</formula>
    </cfRule>
    <cfRule type="cellIs" dxfId="2549" priority="2443" operator="equal">
      <formula>"ITAÚ MATRIZ"</formula>
    </cfRule>
    <cfRule type="cellIs" dxfId="2548" priority="2442" operator="equal">
      <formula>"ITAÚ"</formula>
    </cfRule>
    <cfRule type="cellIs" dxfId="2547" priority="2441" operator="between">
      <formula>"ITAÚ MATRIZ"</formula>
      <formula>"ITAÚ MATRIZ"</formula>
    </cfRule>
    <cfRule type="cellIs" dxfId="2546" priority="2440" operator="equal">
      <formula>"ITAÚ MATRIZ"</formula>
    </cfRule>
    <cfRule type="cellIs" dxfId="2545" priority="2439" operator="equal">
      <formula>"ITAÚ"</formula>
    </cfRule>
    <cfRule type="cellIs" dxfId="2544" priority="2438" operator="between">
      <formula>"ITAÚ FILIAL"</formula>
      <formula>"ITAÚ FILIAL"</formula>
    </cfRule>
    <cfRule type="cellIs" dxfId="2543" priority="2437" operator="between">
      <formula>"ITAÚ FILIAL"</formula>
      <formula>"ITAÚ FILIAL"</formula>
    </cfRule>
    <cfRule type="cellIs" dxfId="2542" priority="2436" operator="between">
      <formula>"DAYCOVAL"</formula>
      <formula>"DAYCOVAL"</formula>
    </cfRule>
    <cfRule type="cellIs" dxfId="2541" priority="2435" operator="between">
      <formula>"SAFRA"</formula>
      <formula>"SAFRA"</formula>
    </cfRule>
    <cfRule type="cellIs" dxfId="2540" priority="2434" operator="between">
      <formula>"SAFRA"</formula>
      <formula>"SAFRA"</formula>
    </cfRule>
    <cfRule type="cellIs" dxfId="2539" priority="2433" operator="equal">
      <formula>"ITAÚ"</formula>
    </cfRule>
    <cfRule type="cellIs" dxfId="2538" priority="2432" operator="equal">
      <formula>"ITAÚ"</formula>
    </cfRule>
    <cfRule type="cellIs" dxfId="2537" priority="2431" operator="between">
      <formula>"ITAÚ MATRIZ"</formula>
      <formula>"ITAÚ MATRIZ"</formula>
    </cfRule>
    <cfRule type="cellIs" dxfId="2536" priority="2430" operator="between">
      <formula>"ITAÚ FILIAL"</formula>
      <formula>"ITAÚ FILIAL"</formula>
    </cfRule>
    <cfRule type="cellIs" dxfId="2535" priority="2429" operator="between">
      <formula>"ITAÚ FILIAL"</formula>
      <formula>"ITAÚ FILIAL"</formula>
    </cfRule>
    <cfRule type="cellIs" dxfId="2534" priority="2428" operator="between">
      <formula>"DAYCOVAL"</formula>
      <formula>"DAYCOVAL"</formula>
    </cfRule>
    <cfRule type="cellIs" dxfId="2533" priority="2427" operator="between">
      <formula>"SAFRA"</formula>
      <formula>"SAFRA"</formula>
    </cfRule>
    <cfRule type="cellIs" dxfId="2532" priority="2426" operator="between">
      <formula>"SAFRA"</formula>
      <formula>"SAFRA"</formula>
    </cfRule>
    <cfRule type="cellIs" dxfId="2531" priority="2425" operator="equal">
      <formula>"ITAÚ MATRIZ"</formula>
    </cfRule>
    <cfRule type="cellIs" dxfId="2530" priority="2424" operator="equal">
      <formula>"ITAÚ"</formula>
    </cfRule>
    <cfRule type="cellIs" dxfId="2529" priority="2423" operator="equal">
      <formula>"ITAÚ"</formula>
    </cfRule>
    <cfRule type="cellIs" dxfId="2528" priority="2422" operator="between">
      <formula>"ITAÚ MATRIZ"</formula>
      <formula>"ITAÚ MATRIZ"</formula>
    </cfRule>
    <cfRule type="cellIs" dxfId="2527" priority="2421" operator="between">
      <formula>"ITAÚ FILIAL"</formula>
      <formula>"ITAÚ FILIAL"</formula>
    </cfRule>
    <cfRule type="cellIs" dxfId="2526" priority="2420" operator="between">
      <formula>"ITAÚ FILIAL"</formula>
      <formula>"ITAÚ FILIAL"</formula>
    </cfRule>
    <cfRule type="cellIs" dxfId="2525" priority="2419" operator="between">
      <formula>"DAYCOVAL"</formula>
      <formula>"DAYCOVAL"</formula>
    </cfRule>
    <cfRule type="cellIs" dxfId="2524" priority="2418" operator="between">
      <formula>"SAFRA"</formula>
      <formula>"SAFRA"</formula>
    </cfRule>
    <cfRule type="cellIs" dxfId="2523" priority="2417" operator="between">
      <formula>"SAFRA"</formula>
      <formula>"SAFRA"</formula>
    </cfRule>
    <cfRule type="cellIs" dxfId="2522" priority="2416" operator="equal">
      <formula>"ITAÚ MATRIZ"</formula>
    </cfRule>
    <cfRule type="cellIs" dxfId="2521" priority="2415" operator="equal">
      <formula>"ITAÚ"</formula>
    </cfRule>
    <cfRule type="cellIs" dxfId="2520" priority="2414" operator="equal">
      <formula>"ITAÚ"</formula>
    </cfRule>
    <cfRule type="cellIs" dxfId="2519" priority="2413" operator="between">
      <formula>"ITAÚ MATRIZ"</formula>
      <formula>"ITAÚ MATRIZ"</formula>
    </cfRule>
    <cfRule type="cellIs" dxfId="2518" priority="2412" operator="between">
      <formula>"ITAÚ FILIAL"</formula>
      <formula>"ITAÚ FILIAL"</formula>
    </cfRule>
    <cfRule type="cellIs" dxfId="2517" priority="2411" operator="between">
      <formula>"ITAÚ FILIAL"</formula>
      <formula>"ITAÚ FILIAL"</formula>
    </cfRule>
    <cfRule type="cellIs" dxfId="2516" priority="2410" operator="between">
      <formula>"DAYCOVAL"</formula>
      <formula>"DAYCOVAL"</formula>
    </cfRule>
    <cfRule type="cellIs" dxfId="2515" priority="2409" operator="between">
      <formula>"SAFRA"</formula>
      <formula>"SAFRA"</formula>
    </cfRule>
    <cfRule type="cellIs" dxfId="2514" priority="2408" operator="between">
      <formula>"SAFRA"</formula>
      <formula>"SAFRA"</formula>
    </cfRule>
    <cfRule type="cellIs" dxfId="2513" priority="2407" operator="equal">
      <formula>"ITAÚ MATRIZ"</formula>
    </cfRule>
    <cfRule type="cellIs" dxfId="2512" priority="2406" operator="equal">
      <formula>"ITAÚ"</formula>
    </cfRule>
    <cfRule type="cellIs" dxfId="2511" priority="2405" operator="equal">
      <formula>"ITAÚ"</formula>
    </cfRule>
    <cfRule type="cellIs" dxfId="2510" priority="2404" operator="between">
      <formula>"ITAÚ MATRIZ"</formula>
      <formula>"ITAÚ MATRIZ"</formula>
    </cfRule>
    <cfRule type="cellIs" dxfId="2509" priority="2403" operator="between">
      <formula>"ITAÚ FILIAL"</formula>
      <formula>"ITAÚ FILIAL"</formula>
    </cfRule>
    <cfRule type="cellIs" dxfId="2508" priority="2402" operator="between">
      <formula>"ITAÚ FILIAL"</formula>
      <formula>"ITAÚ FILIAL"</formula>
    </cfRule>
    <cfRule type="cellIs" dxfId="2507" priority="2401" operator="between">
      <formula>"DAYCOVAL"</formula>
      <formula>"DAYCOVAL"</formula>
    </cfRule>
    <cfRule type="cellIs" dxfId="2506" priority="2400" operator="between">
      <formula>"SAFRA"</formula>
      <formula>"SAFRA"</formula>
    </cfRule>
    <cfRule type="cellIs" dxfId="2505" priority="2399" operator="between">
      <formula>"SAFRA"</formula>
      <formula>"SAFRA"</formula>
    </cfRule>
    <cfRule type="cellIs" dxfId="2504" priority="2398" operator="equal">
      <formula>"ITAÚ MATRIZ"</formula>
    </cfRule>
    <cfRule type="cellIs" dxfId="2503" priority="2397" operator="equal">
      <formula>"ITAÚ"</formula>
    </cfRule>
    <cfRule type="cellIs" dxfId="2502" priority="2396" operator="equal">
      <formula>"ITAÚ"</formula>
    </cfRule>
    <cfRule type="cellIs" dxfId="2501" priority="2395" operator="between">
      <formula>"ITAÚ MATRIZ"</formula>
      <formula>"ITAÚ MATRIZ"</formula>
    </cfRule>
    <cfRule type="cellIs" dxfId="2500" priority="2394" operator="between">
      <formula>"ITAÚ FILIAL"</formula>
      <formula>"ITAÚ FILIAL"</formula>
    </cfRule>
    <cfRule type="cellIs" dxfId="2499" priority="2393" operator="between">
      <formula>"ITAÚ FILIAL"</formula>
      <formula>"ITAÚ FILIAL"</formula>
    </cfRule>
    <cfRule type="cellIs" dxfId="2498" priority="2392" operator="between">
      <formula>"DAYCOVAL"</formula>
      <formula>"DAYCOVAL"</formula>
    </cfRule>
    <cfRule type="cellIs" dxfId="2497" priority="2391" operator="between">
      <formula>"SAFRA"</formula>
      <formula>"SAFRA"</formula>
    </cfRule>
    <cfRule type="cellIs" dxfId="2496" priority="2390" operator="between">
      <formula>"SAFRA"</formula>
      <formula>"SAFRA"</formula>
    </cfRule>
    <cfRule type="cellIs" dxfId="2495" priority="2389" operator="equal">
      <formula>"ITAÚ MATRIZ"</formula>
    </cfRule>
    <cfRule type="cellIs" dxfId="2494" priority="2388" operator="equal">
      <formula>"ITAÚ"</formula>
    </cfRule>
    <cfRule type="cellIs" dxfId="2493" priority="2387" operator="between">
      <formula>"ITAÚ MATRIZ"</formula>
      <formula>"ITAÚ MATRIZ"</formula>
    </cfRule>
    <cfRule type="cellIs" dxfId="2492" priority="2386" operator="equal">
      <formula>"ITAÚ MATRIZ"</formula>
    </cfRule>
    <cfRule type="cellIs" dxfId="2491" priority="2385" operator="equal">
      <formula>"ITAÚ"</formula>
    </cfRule>
    <cfRule type="cellIs" dxfId="2490" priority="2384" operator="between">
      <formula>"ITAÚ FILIAL"</formula>
      <formula>"ITAÚ FILIAL"</formula>
    </cfRule>
    <cfRule type="cellIs" dxfId="2489" priority="2383" operator="between">
      <formula>"ITAÚ FILIAL"</formula>
      <formula>"ITAÚ FILIAL"</formula>
    </cfRule>
    <cfRule type="cellIs" dxfId="2488" priority="2382" operator="between">
      <formula>"DAYCOVAL"</formula>
      <formula>"DAYCOVAL"</formula>
    </cfRule>
    <cfRule type="cellIs" dxfId="2487" priority="2381" operator="between">
      <formula>"SAFRA"</formula>
      <formula>"SAFRA"</formula>
    </cfRule>
    <cfRule type="cellIs" dxfId="2486" priority="2380" operator="between">
      <formula>"SAFRA"</formula>
      <formula>"SAFRA"</formula>
    </cfRule>
    <cfRule type="cellIs" dxfId="2485" priority="2379" operator="equal">
      <formula>"ITAÚ"</formula>
    </cfRule>
    <cfRule type="cellIs" dxfId="2484" priority="2378" operator="equal">
      <formula>"ITAÚ"</formula>
    </cfRule>
    <cfRule type="cellIs" dxfId="2483" priority="2377" operator="between">
      <formula>"ITAÚ MATRIZ"</formula>
      <formula>"ITAÚ MATRIZ"</formula>
    </cfRule>
    <cfRule type="cellIs" dxfId="2482" priority="2376" operator="between">
      <formula>"ITAÚ FILIAL"</formula>
      <formula>"ITAÚ FILIAL"</formula>
    </cfRule>
    <cfRule type="cellIs" dxfId="2481" priority="2586" operator="between">
      <formula>"ITAÚ FILIAL"</formula>
      <formula>"ITAÚ FILIAL"</formula>
    </cfRule>
  </conditionalFormatting>
  <conditionalFormatting sqref="I260:I336">
    <cfRule type="cellIs" dxfId="2480" priority="1875" operator="equal">
      <formula>"ITAÚ MATRIZ"</formula>
    </cfRule>
    <cfRule type="cellIs" dxfId="2479" priority="1874" operator="equal">
      <formula>"ITAÚ"</formula>
    </cfRule>
    <cfRule type="cellIs" dxfId="2478" priority="1871" operator="between">
      <formula>"DAYCOVAL"</formula>
      <formula>"DAYCOVAL"</formula>
    </cfRule>
    <cfRule type="cellIs" dxfId="2477" priority="1870" operator="between">
      <formula>"SAFRA"</formula>
      <formula>"SAFRA"</formula>
    </cfRule>
    <cfRule type="cellIs" dxfId="2476" priority="1877" operator="equal">
      <formula>"ITAÚ"</formula>
    </cfRule>
    <cfRule type="cellIs" dxfId="2475" priority="1869" operator="between">
      <formula>"SAFRA"</formula>
      <formula>"SAFRA"</formula>
    </cfRule>
  </conditionalFormatting>
  <conditionalFormatting sqref="I328">
    <cfRule type="cellIs" dxfId="2474" priority="1686" operator="between">
      <formula>"ITAÚ MATRIZ"</formula>
      <formula>"ITAÚ MATRIZ"</formula>
    </cfRule>
    <cfRule type="cellIs" dxfId="2473" priority="1868" operator="equal">
      <formula>"ITAÚ"</formula>
    </cfRule>
    <cfRule type="cellIs" dxfId="2472" priority="1684" operator="between">
      <formula>"ITAÚ FILIAL"</formula>
      <formula>"ITAÚ FILIAL"</formula>
    </cfRule>
    <cfRule type="cellIs" dxfId="2471" priority="1683" operator="between">
      <formula>"DAYCOVAL"</formula>
      <formula>"DAYCOVAL"</formula>
    </cfRule>
    <cfRule type="cellIs" dxfId="2470" priority="1682" operator="between">
      <formula>"SAFRA"</formula>
      <formula>"SAFRA"</formula>
    </cfRule>
    <cfRule type="cellIs" dxfId="2469" priority="1681" operator="between">
      <formula>"SAFRA"</formula>
      <formula>"SAFRA"</formula>
    </cfRule>
    <cfRule type="cellIs" dxfId="2468" priority="1687" operator="equal">
      <formula>"ITAÚ"</formula>
    </cfRule>
    <cfRule type="cellIs" dxfId="2467" priority="1688" operator="equal">
      <formula>"ITAÚ"</formula>
    </cfRule>
    <cfRule type="cellIs" dxfId="2466" priority="1689" operator="equal">
      <formula>"ITAÚ MATRIZ"</formula>
    </cfRule>
    <cfRule type="cellIs" dxfId="2465" priority="1690" operator="between">
      <formula>"SAFRA"</formula>
      <formula>"SAFRA"</formula>
    </cfRule>
    <cfRule type="cellIs" dxfId="2464" priority="1691" operator="between">
      <formula>"SAFRA"</formula>
      <formula>"SAFRA"</formula>
    </cfRule>
    <cfRule type="cellIs" dxfId="2463" priority="1692" operator="between">
      <formula>"DAYCOVAL"</formula>
      <formula>"DAYCOVAL"</formula>
    </cfRule>
    <cfRule type="cellIs" dxfId="2462" priority="1693" operator="between">
      <formula>"ITAÚ FILIAL"</formula>
      <formula>"ITAÚ FILIAL"</formula>
    </cfRule>
    <cfRule type="cellIs" dxfId="2461" priority="1694" operator="between">
      <formula>"ITAÚ FILIAL"</formula>
      <formula>"ITAÚ FILIAL"</formula>
    </cfRule>
    <cfRule type="cellIs" dxfId="2460" priority="1695" operator="between">
      <formula>"ITAÚ MATRIZ"</formula>
      <formula>"ITAÚ MATRIZ"</formula>
    </cfRule>
    <cfRule type="cellIs" dxfId="2459" priority="1696" operator="equal">
      <formula>"ITAÚ"</formula>
    </cfRule>
    <cfRule type="cellIs" dxfId="2458" priority="1697" operator="equal">
      <formula>"ITAÚ"</formula>
    </cfRule>
    <cfRule type="cellIs" dxfId="2457" priority="1698" operator="between">
      <formula>"SAFRA"</formula>
      <formula>"SAFRA"</formula>
    </cfRule>
    <cfRule type="cellIs" dxfId="2456" priority="1699" operator="between">
      <formula>"SAFRA"</formula>
      <formula>"SAFRA"</formula>
    </cfRule>
    <cfRule type="cellIs" dxfId="2455" priority="1700" operator="between">
      <formula>"DAYCOVAL"</formula>
      <formula>"DAYCOVAL"</formula>
    </cfRule>
    <cfRule type="cellIs" dxfId="2454" priority="1701" operator="between">
      <formula>"ITAÚ FILIAL"</formula>
      <formula>"ITAÚ FILIAL"</formula>
    </cfRule>
    <cfRule type="cellIs" dxfId="2453" priority="1702" operator="between">
      <formula>"ITAÚ FILIAL"</formula>
      <formula>"ITAÚ FILIAL"</formula>
    </cfRule>
    <cfRule type="cellIs" dxfId="2452" priority="1703" operator="equal">
      <formula>"ITAÚ"</formula>
    </cfRule>
    <cfRule type="cellIs" dxfId="2451" priority="1704" operator="equal">
      <formula>"ITAÚ MATRIZ"</formula>
    </cfRule>
    <cfRule type="cellIs" dxfId="2450" priority="1705" operator="between">
      <formula>"ITAÚ MATRIZ"</formula>
      <formula>"ITAÚ MATRIZ"</formula>
    </cfRule>
    <cfRule type="cellIs" dxfId="2449" priority="1706" operator="equal">
      <formula>"ITAÚ"</formula>
    </cfRule>
    <cfRule type="cellIs" dxfId="2448" priority="1707" operator="equal">
      <formula>"ITAÚ MATRIZ"</formula>
    </cfRule>
    <cfRule type="cellIs" dxfId="2447" priority="1708" operator="between">
      <formula>"SAFRA"</formula>
      <formula>"SAFRA"</formula>
    </cfRule>
    <cfRule type="cellIs" dxfId="2446" priority="1709" operator="between">
      <formula>"SAFRA"</formula>
      <formula>"SAFRA"</formula>
    </cfRule>
    <cfRule type="cellIs" dxfId="2445" priority="1710" operator="between">
      <formula>"DAYCOVAL"</formula>
      <formula>"DAYCOVAL"</formula>
    </cfRule>
    <cfRule type="cellIs" dxfId="2444" priority="1711" operator="between">
      <formula>"ITAÚ FILIAL"</formula>
      <formula>"ITAÚ FILIAL"</formula>
    </cfRule>
    <cfRule type="cellIs" dxfId="2443" priority="1712" operator="between">
      <formula>"ITAÚ FILIAL"</formula>
      <formula>"ITAÚ FILIAL"</formula>
    </cfRule>
    <cfRule type="cellIs" dxfId="2442" priority="1713" operator="between">
      <formula>"ITAÚ MATRIZ"</formula>
      <formula>"ITAÚ MATRIZ"</formula>
    </cfRule>
    <cfRule type="cellIs" dxfId="2441" priority="1714" operator="equal">
      <formula>"ITAÚ"</formula>
    </cfRule>
    <cfRule type="cellIs" dxfId="2440" priority="1715" operator="equal">
      <formula>"ITAÚ"</formula>
    </cfRule>
    <cfRule type="cellIs" dxfId="2439" priority="1716" operator="equal">
      <formula>"ITAÚ MATRIZ"</formula>
    </cfRule>
    <cfRule type="cellIs" dxfId="2438" priority="1717" operator="between">
      <formula>"SAFRA"</formula>
      <formula>"SAFRA"</formula>
    </cfRule>
    <cfRule type="cellIs" dxfId="2437" priority="1718" operator="between">
      <formula>"SAFRA"</formula>
      <formula>"SAFRA"</formula>
    </cfRule>
    <cfRule type="cellIs" dxfId="2436" priority="1719" operator="between">
      <formula>"DAYCOVAL"</formula>
      <formula>"DAYCOVAL"</formula>
    </cfRule>
    <cfRule type="cellIs" dxfId="2435" priority="1720" operator="between">
      <formula>"ITAÚ FILIAL"</formula>
      <formula>"ITAÚ FILIAL"</formula>
    </cfRule>
    <cfRule type="cellIs" dxfId="2434" priority="1721" operator="between">
      <formula>"ITAÚ FILIAL"</formula>
      <formula>"ITAÚ FILIAL"</formula>
    </cfRule>
    <cfRule type="cellIs" dxfId="2433" priority="1722" operator="between">
      <formula>"ITAÚ MATRIZ"</formula>
      <formula>"ITAÚ MATRIZ"</formula>
    </cfRule>
    <cfRule type="cellIs" dxfId="2432" priority="1723" operator="equal">
      <formula>"ITAÚ"</formula>
    </cfRule>
    <cfRule type="cellIs" dxfId="2431" priority="1724" operator="equal">
      <formula>"ITAÚ"</formula>
    </cfRule>
    <cfRule type="cellIs" dxfId="2430" priority="1725" operator="equal">
      <formula>"ITAÚ MATRIZ"</formula>
    </cfRule>
    <cfRule type="cellIs" dxfId="2429" priority="1726" operator="between">
      <formula>"SAFRA"</formula>
      <formula>"SAFRA"</formula>
    </cfRule>
    <cfRule type="cellIs" dxfId="2428" priority="1727" operator="between">
      <formula>"SAFRA"</formula>
      <formula>"SAFRA"</formula>
    </cfRule>
    <cfRule type="cellIs" dxfId="2427" priority="1728" operator="between">
      <formula>"DAYCOVAL"</formula>
      <formula>"DAYCOVAL"</formula>
    </cfRule>
    <cfRule type="cellIs" dxfId="2426" priority="1729" operator="between">
      <formula>"ITAÚ FILIAL"</formula>
      <formula>"ITAÚ FILIAL"</formula>
    </cfRule>
    <cfRule type="cellIs" dxfId="2425" priority="1730" operator="between">
      <formula>"ITAÚ FILIAL"</formula>
      <formula>"ITAÚ FILIAL"</formula>
    </cfRule>
    <cfRule type="cellIs" dxfId="2424" priority="1731" operator="between">
      <formula>"ITAÚ MATRIZ"</formula>
      <formula>"ITAÚ MATRIZ"</formula>
    </cfRule>
    <cfRule type="cellIs" dxfId="2423" priority="1732" operator="equal">
      <formula>"ITAÚ"</formula>
    </cfRule>
    <cfRule type="cellIs" dxfId="2422" priority="1733" operator="equal">
      <formula>"ITAÚ"</formula>
    </cfRule>
    <cfRule type="cellIs" dxfId="2421" priority="1734" operator="equal">
      <formula>"ITAÚ MATRIZ"</formula>
    </cfRule>
    <cfRule type="cellIs" dxfId="2420" priority="1735" operator="between">
      <formula>"SAFRA"</formula>
      <formula>"SAFRA"</formula>
    </cfRule>
    <cfRule type="cellIs" dxfId="2419" priority="1736" operator="between">
      <formula>"SAFRA"</formula>
      <formula>"SAFRA"</formula>
    </cfRule>
    <cfRule type="cellIs" dxfId="2418" priority="1737" operator="between">
      <formula>"DAYCOVAL"</formula>
      <formula>"DAYCOVAL"</formula>
    </cfRule>
    <cfRule type="cellIs" dxfId="2417" priority="1738" operator="between">
      <formula>"ITAÚ FILIAL"</formula>
      <formula>"ITAÚ FILIAL"</formula>
    </cfRule>
    <cfRule type="cellIs" dxfId="2416" priority="1739" operator="between">
      <formula>"ITAÚ FILIAL"</formula>
      <formula>"ITAÚ FILIAL"</formula>
    </cfRule>
    <cfRule type="cellIs" dxfId="2415" priority="1740" operator="between">
      <formula>"ITAÚ MATRIZ"</formula>
      <formula>"ITAÚ MATRIZ"</formula>
    </cfRule>
    <cfRule type="cellIs" dxfId="2414" priority="1741" operator="equal">
      <formula>"ITAÚ"</formula>
    </cfRule>
    <cfRule type="cellIs" dxfId="2413" priority="1742" operator="equal">
      <formula>"ITAÚ"</formula>
    </cfRule>
    <cfRule type="cellIs" dxfId="2412" priority="1743" operator="equal">
      <formula>"ITAÚ MATRIZ"</formula>
    </cfRule>
    <cfRule type="cellIs" dxfId="2411" priority="1744" operator="between">
      <formula>"SAFRA"</formula>
      <formula>"SAFRA"</formula>
    </cfRule>
    <cfRule type="cellIs" dxfId="2410" priority="1745" operator="between">
      <formula>"SAFRA"</formula>
      <formula>"SAFRA"</formula>
    </cfRule>
    <cfRule type="cellIs" dxfId="2409" priority="1746" operator="between">
      <formula>"DAYCOVAL"</formula>
      <formula>"DAYCOVAL"</formula>
    </cfRule>
    <cfRule type="cellIs" dxfId="2408" priority="1747" operator="between">
      <formula>"ITAÚ FILIAL"</formula>
      <formula>"ITAÚ FILIAL"</formula>
    </cfRule>
    <cfRule type="cellIs" dxfId="2407" priority="1748" operator="between">
      <formula>"ITAÚ FILIAL"</formula>
      <formula>"ITAÚ FILIAL"</formula>
    </cfRule>
    <cfRule type="cellIs" dxfId="2406" priority="1749" operator="between">
      <formula>"ITAÚ MATRIZ"</formula>
      <formula>"ITAÚ MATRIZ"</formula>
    </cfRule>
    <cfRule type="cellIs" dxfId="2405" priority="1750" operator="equal">
      <formula>"ITAÚ"</formula>
    </cfRule>
    <cfRule type="cellIs" dxfId="2404" priority="1751" operator="equal">
      <formula>"ITAÚ"</formula>
    </cfRule>
    <cfRule type="cellIs" dxfId="2403" priority="1752" operator="between">
      <formula>"SAFRA"</formula>
      <formula>"SAFRA"</formula>
    </cfRule>
    <cfRule type="cellIs" dxfId="2402" priority="1753" operator="between">
      <formula>"SAFRA"</formula>
      <formula>"SAFRA"</formula>
    </cfRule>
    <cfRule type="cellIs" dxfId="2401" priority="1754" operator="between">
      <formula>"DAYCOVAL"</formula>
      <formula>"DAYCOVAL"</formula>
    </cfRule>
    <cfRule type="cellIs" dxfId="2400" priority="1755" operator="between">
      <formula>"ITAÚ FILIAL"</formula>
      <formula>"ITAÚ FILIAL"</formula>
    </cfRule>
    <cfRule type="cellIs" dxfId="2399" priority="1756" operator="between">
      <formula>"ITAÚ FILIAL"</formula>
      <formula>"ITAÚ FILIAL"</formula>
    </cfRule>
    <cfRule type="cellIs" dxfId="2398" priority="1757" operator="equal">
      <formula>"ITAÚ"</formula>
    </cfRule>
    <cfRule type="cellIs" dxfId="2397" priority="1758" operator="equal">
      <formula>"ITAÚ MATRIZ"</formula>
    </cfRule>
    <cfRule type="cellIs" dxfId="2396" priority="1759" operator="between">
      <formula>"ITAÚ MATRIZ"</formula>
      <formula>"ITAÚ MATRIZ"</formula>
    </cfRule>
    <cfRule type="cellIs" dxfId="2395" priority="1680" operator="equal">
      <formula>"ITAÚ MATRIZ"</formula>
    </cfRule>
    <cfRule type="cellIs" dxfId="2394" priority="1760" operator="equal">
      <formula>"ITAÚ"</formula>
    </cfRule>
    <cfRule type="cellIs" dxfId="2393" priority="1761" operator="equal">
      <formula>"ITAÚ MATRIZ"</formula>
    </cfRule>
    <cfRule type="cellIs" dxfId="2392" priority="1762" operator="between">
      <formula>"SAFRA"</formula>
      <formula>"SAFRA"</formula>
    </cfRule>
    <cfRule type="cellIs" dxfId="2391" priority="1763" operator="between">
      <formula>"SAFRA"</formula>
      <formula>"SAFRA"</formula>
    </cfRule>
    <cfRule type="cellIs" dxfId="2390" priority="1764" operator="between">
      <formula>"DAYCOVAL"</formula>
      <formula>"DAYCOVAL"</formula>
    </cfRule>
    <cfRule type="cellIs" dxfId="2389" priority="1765" operator="between">
      <formula>"ITAÚ FILIAL"</formula>
      <formula>"ITAÚ FILIAL"</formula>
    </cfRule>
    <cfRule type="cellIs" dxfId="2388" priority="1766" operator="between">
      <formula>"ITAÚ FILIAL"</formula>
      <formula>"ITAÚ FILIAL"</formula>
    </cfRule>
    <cfRule type="cellIs" dxfId="2387" priority="1767" operator="between">
      <formula>"ITAÚ MATRIZ"</formula>
      <formula>"ITAÚ MATRIZ"</formula>
    </cfRule>
    <cfRule type="cellIs" dxfId="2386" priority="1768" operator="equal">
      <formula>"ITAÚ"</formula>
    </cfRule>
    <cfRule type="cellIs" dxfId="2385" priority="1769" operator="equal">
      <formula>"ITAÚ"</formula>
    </cfRule>
    <cfRule type="cellIs" dxfId="2384" priority="1770" operator="between">
      <formula>"SAFRA"</formula>
      <formula>"SAFRA"</formula>
    </cfRule>
    <cfRule type="cellIs" dxfId="2383" priority="1771" operator="between">
      <formula>"SAFRA"</formula>
      <formula>"SAFRA"</formula>
    </cfRule>
    <cfRule type="cellIs" dxfId="2382" priority="1772" operator="between">
      <formula>"DAYCOVAL"</formula>
      <formula>"DAYCOVAL"</formula>
    </cfRule>
    <cfRule type="cellIs" dxfId="2381" priority="1773" operator="between">
      <formula>"ITAÚ FILIAL"</formula>
      <formula>"ITAÚ FILIAL"</formula>
    </cfRule>
    <cfRule type="cellIs" dxfId="2380" priority="1774" operator="between">
      <formula>"ITAÚ FILIAL"</formula>
      <formula>"ITAÚ FILIAL"</formula>
    </cfRule>
    <cfRule type="cellIs" dxfId="2379" priority="1775" operator="equal">
      <formula>"ITAÚ"</formula>
    </cfRule>
    <cfRule type="cellIs" dxfId="2378" priority="1685" operator="between">
      <formula>"ITAÚ FILIAL"</formula>
      <formula>"ITAÚ FILIAL"</formula>
    </cfRule>
    <cfRule type="cellIs" dxfId="2377" priority="1777" operator="between">
      <formula>"ITAÚ MATRIZ"</formula>
      <formula>"ITAÚ MATRIZ"</formula>
    </cfRule>
    <cfRule type="cellIs" dxfId="2376" priority="1778" operator="equal">
      <formula>"ITAÚ"</formula>
    </cfRule>
    <cfRule type="cellIs" dxfId="2375" priority="1779" operator="equal">
      <formula>"ITAÚ MATRIZ"</formula>
    </cfRule>
    <cfRule type="cellIs" dxfId="2374" priority="1780" operator="between">
      <formula>"SAFRA"</formula>
      <formula>"SAFRA"</formula>
    </cfRule>
    <cfRule type="cellIs" dxfId="2373" priority="1781" operator="between">
      <formula>"SAFRA"</formula>
      <formula>"SAFRA"</formula>
    </cfRule>
    <cfRule type="cellIs" dxfId="2372" priority="1782" operator="between">
      <formula>"DAYCOVAL"</formula>
      <formula>"DAYCOVAL"</formula>
    </cfRule>
    <cfRule type="cellIs" dxfId="2371" priority="1783" operator="between">
      <formula>"ITAÚ FILIAL"</formula>
      <formula>"ITAÚ FILIAL"</formula>
    </cfRule>
    <cfRule type="cellIs" dxfId="2370" priority="1784" operator="between">
      <formula>"ITAÚ FILIAL"</formula>
      <formula>"ITAÚ FILIAL"</formula>
    </cfRule>
    <cfRule type="cellIs" dxfId="2369" priority="1785" operator="between">
      <formula>"ITAÚ MATRIZ"</formula>
      <formula>"ITAÚ MATRIZ"</formula>
    </cfRule>
    <cfRule type="cellIs" dxfId="2368" priority="1786" operator="equal">
      <formula>"ITAÚ"</formula>
    </cfRule>
    <cfRule type="cellIs" dxfId="2367" priority="1787" operator="equal">
      <formula>"ITAÚ"</formula>
    </cfRule>
    <cfRule type="cellIs" dxfId="2366" priority="1788" operator="equal">
      <formula>"ITAÚ MATRIZ"</formula>
    </cfRule>
    <cfRule type="cellIs" dxfId="2365" priority="1789" operator="between">
      <formula>"SAFRA"</formula>
      <formula>"SAFRA"</formula>
    </cfRule>
    <cfRule type="cellIs" dxfId="2364" priority="1790" operator="between">
      <formula>"SAFRA"</formula>
      <formula>"SAFRA"</formula>
    </cfRule>
    <cfRule type="cellIs" dxfId="2363" priority="1791" operator="between">
      <formula>"DAYCOVAL"</formula>
      <formula>"DAYCOVAL"</formula>
    </cfRule>
    <cfRule type="cellIs" dxfId="2362" priority="1792" operator="between">
      <formula>"ITAÚ FILIAL"</formula>
      <formula>"ITAÚ FILIAL"</formula>
    </cfRule>
    <cfRule type="cellIs" dxfId="2361" priority="1793" operator="between">
      <formula>"ITAÚ FILIAL"</formula>
      <formula>"ITAÚ FILIAL"</formula>
    </cfRule>
    <cfRule type="cellIs" dxfId="2360" priority="1794" operator="between">
      <formula>"ITAÚ MATRIZ"</formula>
      <formula>"ITAÚ MATRIZ"</formula>
    </cfRule>
    <cfRule type="cellIs" dxfId="2359" priority="1795" operator="equal">
      <formula>"ITAÚ"</formula>
    </cfRule>
    <cfRule type="cellIs" dxfId="2358" priority="1796" operator="equal">
      <formula>"ITAÚ"</formula>
    </cfRule>
    <cfRule type="cellIs" dxfId="2357" priority="1797" operator="equal">
      <formula>"ITAÚ MATRIZ"</formula>
    </cfRule>
    <cfRule type="cellIs" dxfId="2356" priority="1798" operator="between">
      <formula>"SAFRA"</formula>
      <formula>"SAFRA"</formula>
    </cfRule>
    <cfRule type="cellIs" dxfId="2355" priority="1799" operator="between">
      <formula>"SAFRA"</formula>
      <formula>"SAFRA"</formula>
    </cfRule>
    <cfRule type="cellIs" dxfId="2354" priority="1800" operator="between">
      <formula>"DAYCOVAL"</formula>
      <formula>"DAYCOVAL"</formula>
    </cfRule>
    <cfRule type="cellIs" dxfId="2353" priority="1801" operator="between">
      <formula>"ITAÚ FILIAL"</formula>
      <formula>"ITAÚ FILIAL"</formula>
    </cfRule>
    <cfRule type="cellIs" dxfId="2352" priority="1802" operator="between">
      <formula>"ITAÚ FILIAL"</formula>
      <formula>"ITAÚ FILIAL"</formula>
    </cfRule>
    <cfRule type="cellIs" dxfId="2351" priority="1803" operator="between">
      <formula>"ITAÚ MATRIZ"</formula>
      <formula>"ITAÚ MATRIZ"</formula>
    </cfRule>
    <cfRule type="cellIs" dxfId="2350" priority="1804" operator="equal">
      <formula>"ITAÚ"</formula>
    </cfRule>
    <cfRule type="cellIs" dxfId="2349" priority="1805" operator="equal">
      <formula>"ITAÚ"</formula>
    </cfRule>
    <cfRule type="cellIs" dxfId="2348" priority="1806" operator="equal">
      <formula>"ITAÚ MATRIZ"</formula>
    </cfRule>
    <cfRule type="cellIs" dxfId="2347" priority="1807" operator="between">
      <formula>"SAFRA"</formula>
      <formula>"SAFRA"</formula>
    </cfRule>
    <cfRule type="cellIs" dxfId="2346" priority="1808" operator="between">
      <formula>"SAFRA"</formula>
      <formula>"SAFRA"</formula>
    </cfRule>
    <cfRule type="cellIs" dxfId="2345" priority="1809" operator="between">
      <formula>"DAYCOVAL"</formula>
      <formula>"DAYCOVAL"</formula>
    </cfRule>
    <cfRule type="cellIs" dxfId="2344" priority="1810" operator="between">
      <formula>"ITAÚ FILIAL"</formula>
      <formula>"ITAÚ FILIAL"</formula>
    </cfRule>
    <cfRule type="cellIs" dxfId="2343" priority="1811" operator="between">
      <formula>"ITAÚ FILIAL"</formula>
      <formula>"ITAÚ FILIAL"</formula>
    </cfRule>
    <cfRule type="cellIs" dxfId="2342" priority="1812" operator="between">
      <formula>"ITAÚ MATRIZ"</formula>
      <formula>"ITAÚ MATRIZ"</formula>
    </cfRule>
    <cfRule type="cellIs" dxfId="2341" priority="1813" operator="equal">
      <formula>"ITAÚ"</formula>
    </cfRule>
    <cfRule type="cellIs" dxfId="2340" priority="1814" operator="equal">
      <formula>"ITAÚ"</formula>
    </cfRule>
    <cfRule type="cellIs" dxfId="2339" priority="1815" operator="equal">
      <formula>"ITAÚ MATRIZ"</formula>
    </cfRule>
    <cfRule type="cellIs" dxfId="2338" priority="1816" operator="between">
      <formula>"SAFRA"</formula>
      <formula>"SAFRA"</formula>
    </cfRule>
    <cfRule type="cellIs" dxfId="2337" priority="1817" operator="between">
      <formula>"SAFRA"</formula>
      <formula>"SAFRA"</formula>
    </cfRule>
    <cfRule type="cellIs" dxfId="2336" priority="1818" operator="between">
      <formula>"DAYCOVAL"</formula>
      <formula>"DAYCOVAL"</formula>
    </cfRule>
    <cfRule type="cellIs" dxfId="2335" priority="1819" operator="between">
      <formula>"ITAÚ FILIAL"</formula>
      <formula>"ITAÚ FILIAL"</formula>
    </cfRule>
    <cfRule type="cellIs" dxfId="2334" priority="1820" operator="between">
      <formula>"ITAÚ FILIAL"</formula>
      <formula>"ITAÚ FILIAL"</formula>
    </cfRule>
    <cfRule type="cellIs" dxfId="2333" priority="1821" operator="between">
      <formula>"ITAÚ MATRIZ"</formula>
      <formula>"ITAÚ MATRIZ"</formula>
    </cfRule>
    <cfRule type="cellIs" dxfId="2332" priority="1822" operator="equal">
      <formula>"ITAÚ"</formula>
    </cfRule>
    <cfRule type="cellIs" dxfId="2331" priority="1823" operator="equal">
      <formula>"ITAÚ"</formula>
    </cfRule>
    <cfRule type="cellIs" dxfId="2330" priority="1824" operator="between">
      <formula>"SAFRA"</formula>
      <formula>"SAFRA"</formula>
    </cfRule>
    <cfRule type="cellIs" dxfId="2329" priority="1825" operator="between">
      <formula>"SAFRA"</formula>
      <formula>"SAFRA"</formula>
    </cfRule>
    <cfRule type="cellIs" dxfId="2328" priority="1826" operator="between">
      <formula>"DAYCOVAL"</formula>
      <formula>"DAYCOVAL"</formula>
    </cfRule>
    <cfRule type="cellIs" dxfId="2327" priority="1827" operator="between">
      <formula>"ITAÚ FILIAL"</formula>
      <formula>"ITAÚ FILIAL"</formula>
    </cfRule>
    <cfRule type="cellIs" dxfId="2326" priority="1828" operator="between">
      <formula>"ITAÚ FILIAL"</formula>
      <formula>"ITAÚ FILIAL"</formula>
    </cfRule>
    <cfRule type="cellIs" dxfId="2325" priority="1829" operator="equal">
      <formula>"ITAÚ"</formula>
    </cfRule>
    <cfRule type="cellIs" dxfId="2324" priority="1830" operator="equal">
      <formula>"ITAÚ MATRIZ"</formula>
    </cfRule>
    <cfRule type="cellIs" dxfId="2323" priority="1831" operator="between">
      <formula>"ITAÚ MATRIZ"</formula>
      <formula>"ITAÚ MATRIZ"</formula>
    </cfRule>
    <cfRule type="cellIs" dxfId="2322" priority="1832" operator="equal">
      <formula>"ITAÚ"</formula>
    </cfRule>
    <cfRule type="cellIs" dxfId="2321" priority="1833" operator="equal">
      <formula>"ITAÚ MATRIZ"</formula>
    </cfRule>
    <cfRule type="cellIs" dxfId="2320" priority="1834" operator="between">
      <formula>"SAFRA"</formula>
      <formula>"SAFRA"</formula>
    </cfRule>
    <cfRule type="cellIs" dxfId="2319" priority="1835" operator="between">
      <formula>"SAFRA"</formula>
      <formula>"SAFRA"</formula>
    </cfRule>
    <cfRule type="cellIs" dxfId="2318" priority="1836" operator="between">
      <formula>"DAYCOVAL"</formula>
      <formula>"DAYCOVAL"</formula>
    </cfRule>
    <cfRule type="cellIs" dxfId="2317" priority="1837" operator="between">
      <formula>"ITAÚ FILIAL"</formula>
      <formula>"ITAÚ FILIAL"</formula>
    </cfRule>
    <cfRule type="cellIs" dxfId="2316" priority="1838" operator="between">
      <formula>"ITAÚ FILIAL"</formula>
      <formula>"ITAÚ FILIAL"</formula>
    </cfRule>
    <cfRule type="cellIs" dxfId="2315" priority="1839" operator="between">
      <formula>"ITAÚ MATRIZ"</formula>
      <formula>"ITAÚ MATRIZ"</formula>
    </cfRule>
    <cfRule type="cellIs" dxfId="2314" priority="1840" operator="equal">
      <formula>"ITAÚ"</formula>
    </cfRule>
    <cfRule type="cellIs" dxfId="2313" priority="1841" operator="equal">
      <formula>"ITAÚ"</formula>
    </cfRule>
    <cfRule type="cellIs" dxfId="2312" priority="1842" operator="between">
      <formula>"SAFRA"</formula>
      <formula>"SAFRA"</formula>
    </cfRule>
    <cfRule type="cellIs" dxfId="2311" priority="1843" operator="between">
      <formula>"SAFRA"</formula>
      <formula>"SAFRA"</formula>
    </cfRule>
    <cfRule type="cellIs" dxfId="2310" priority="1844" operator="between">
      <formula>"DAYCOVAL"</formula>
      <formula>"DAYCOVAL"</formula>
    </cfRule>
    <cfRule type="cellIs" dxfId="2309" priority="1845" operator="between">
      <formula>"ITAÚ FILIAL"</formula>
      <formula>"ITAÚ FILIAL"</formula>
    </cfRule>
    <cfRule type="cellIs" dxfId="2308" priority="1846" operator="between">
      <formula>"ITAÚ FILIAL"</formula>
      <formula>"ITAÚ FILIAL"</formula>
    </cfRule>
    <cfRule type="cellIs" dxfId="2307" priority="1847" operator="equal">
      <formula>"ITAÚ"</formula>
    </cfRule>
    <cfRule type="cellIs" dxfId="2306" priority="1848" operator="equal">
      <formula>"ITAÚ MATRIZ"</formula>
    </cfRule>
    <cfRule type="cellIs" dxfId="2305" priority="1849" operator="between">
      <formula>"ITAÚ MATRIZ"</formula>
      <formula>"ITAÚ MATRIZ"</formula>
    </cfRule>
    <cfRule type="cellIs" dxfId="2304" priority="1850" operator="equal">
      <formula>"ITAÚ"</formula>
    </cfRule>
    <cfRule type="cellIs" dxfId="2303" priority="1851" operator="equal">
      <formula>"ITAÚ MATRIZ"</formula>
    </cfRule>
    <cfRule type="cellIs" dxfId="2302" priority="1852" operator="between">
      <formula>"SAFRA"</formula>
      <formula>"SAFRA"</formula>
    </cfRule>
    <cfRule type="cellIs" dxfId="2301" priority="1853" operator="between">
      <formula>"SAFRA"</formula>
      <formula>"SAFRA"</formula>
    </cfRule>
    <cfRule type="cellIs" dxfId="2300" priority="1854" operator="between">
      <formula>"DAYCOVAL"</formula>
      <formula>"DAYCOVAL"</formula>
    </cfRule>
    <cfRule type="cellIs" dxfId="2299" priority="1855" operator="between">
      <formula>"ITAÚ FILIAL"</formula>
      <formula>"ITAÚ FILIAL"</formula>
    </cfRule>
    <cfRule type="cellIs" dxfId="2298" priority="1856" operator="between">
      <formula>"ITAÚ FILIAL"</formula>
      <formula>"ITAÚ FILIAL"</formula>
    </cfRule>
    <cfRule type="cellIs" dxfId="2297" priority="1857" operator="between">
      <formula>"ITAÚ MATRIZ"</formula>
      <formula>"ITAÚ MATRIZ"</formula>
    </cfRule>
    <cfRule type="cellIs" dxfId="2296" priority="1858" operator="equal">
      <formula>"ITAÚ"</formula>
    </cfRule>
    <cfRule type="cellIs" dxfId="2295" priority="1859" operator="equal">
      <formula>"ITAÚ"</formula>
    </cfRule>
    <cfRule type="cellIs" dxfId="2294" priority="1860" operator="between">
      <formula>"SAFRA"</formula>
      <formula>"SAFRA"</formula>
    </cfRule>
    <cfRule type="cellIs" dxfId="2293" priority="1861" operator="between">
      <formula>"SAFRA"</formula>
      <formula>"SAFRA"</formula>
    </cfRule>
    <cfRule type="cellIs" dxfId="2292" priority="1862" operator="between">
      <formula>"DAYCOVAL"</formula>
      <formula>"DAYCOVAL"</formula>
    </cfRule>
    <cfRule type="cellIs" dxfId="2291" priority="1863" operator="between">
      <formula>"ITAÚ FILIAL"</formula>
      <formula>"ITAÚ FILIAL"</formula>
    </cfRule>
    <cfRule type="cellIs" dxfId="2290" priority="1864" operator="between">
      <formula>"ITAÚ FILIAL"</formula>
      <formula>"ITAÚ FILIAL"</formula>
    </cfRule>
    <cfRule type="cellIs" dxfId="2289" priority="1865" operator="equal">
      <formula>"ITAÚ"</formula>
    </cfRule>
    <cfRule type="cellIs" dxfId="2288" priority="1866" operator="equal">
      <formula>"ITAÚ MATRIZ"</formula>
    </cfRule>
    <cfRule type="cellIs" dxfId="2287" priority="1867" operator="between">
      <formula>"ITAÚ MATRIZ"</formula>
      <formula>"ITAÚ MATRIZ"</formula>
    </cfRule>
    <cfRule type="cellIs" dxfId="2286" priority="1776" operator="equal">
      <formula>"ITAÚ MATRIZ"</formula>
    </cfRule>
  </conditionalFormatting>
  <conditionalFormatting sqref="I328:I336">
    <cfRule type="cellIs" dxfId="2285" priority="1872" operator="between">
      <formula>"ITAÚ FILIAL"</formula>
      <formula>"ITAÚ FILIAL"</formula>
    </cfRule>
    <cfRule type="cellIs" dxfId="2284" priority="1873" operator="between">
      <formula>"ITAÚ FILIAL"</formula>
      <formula>"ITAÚ FILIAL"</formula>
    </cfRule>
    <cfRule type="cellIs" dxfId="2283" priority="1876" operator="between">
      <formula>"ITAÚ MATRIZ"</formula>
      <formula>"ITAÚ MATRIZ"</formula>
    </cfRule>
  </conditionalFormatting>
  <conditionalFormatting sqref="I329:I336">
    <cfRule type="cellIs" dxfId="2282" priority="2010" operator="equal">
      <formula>"ITAÚ"</formula>
    </cfRule>
    <cfRule type="cellIs" dxfId="2281" priority="1914" operator="between">
      <formula>"SAFRA"</formula>
      <formula>"SAFRA"</formula>
    </cfRule>
    <cfRule type="cellIs" dxfId="2280" priority="2127" operator="between">
      <formula>"ITAÚ FILIAL"</formula>
      <formula>"ITAÚ FILIAL"</formula>
    </cfRule>
    <cfRule type="cellIs" dxfId="2279" priority="2126" operator="between">
      <formula>"ITAÚ FILIAL"</formula>
      <formula>"ITAÚ FILIAL"</formula>
    </cfRule>
    <cfRule type="cellIs" dxfId="2278" priority="2125" operator="between">
      <formula>"DAYCOVAL"</formula>
      <formula>"DAYCOVAL"</formula>
    </cfRule>
    <cfRule type="cellIs" dxfId="2277" priority="2124" operator="between">
      <formula>"SAFRA"</formula>
      <formula>"SAFRA"</formula>
    </cfRule>
    <cfRule type="cellIs" dxfId="2276" priority="2123" operator="between">
      <formula>"SAFRA"</formula>
      <formula>"SAFRA"</formula>
    </cfRule>
    <cfRule type="cellIs" dxfId="2275" priority="2122" operator="equal">
      <formula>"ITAÚ MATRIZ"</formula>
    </cfRule>
    <cfRule type="cellIs" dxfId="2274" priority="2100" operator="equal">
      <formula>"ITAÚ"</formula>
    </cfRule>
    <cfRule type="cellIs" dxfId="2273" priority="2099" operator="between">
      <formula>"ITAÚ MATRIZ"</formula>
      <formula>"ITAÚ MATRIZ"</formula>
    </cfRule>
    <cfRule type="cellIs" dxfId="2272" priority="2098" operator="equal">
      <formula>"ITAÚ MATRIZ"</formula>
    </cfRule>
    <cfRule type="cellIs" dxfId="2271" priority="2097" operator="equal">
      <formula>"ITAÚ"</formula>
    </cfRule>
    <cfRule type="cellIs" dxfId="2270" priority="2096" operator="between">
      <formula>"ITAÚ FILIAL"</formula>
      <formula>"ITAÚ FILIAL"</formula>
    </cfRule>
    <cfRule type="cellIs" dxfId="2269" priority="2095" operator="between">
      <formula>"ITAÚ FILIAL"</formula>
      <formula>"ITAÚ FILIAL"</formula>
    </cfRule>
    <cfRule type="cellIs" dxfId="2268" priority="2094" operator="between">
      <formula>"DAYCOVAL"</formula>
      <formula>"DAYCOVAL"</formula>
    </cfRule>
    <cfRule type="cellIs" dxfId="2267" priority="2093" operator="between">
      <formula>"SAFRA"</formula>
      <formula>"SAFRA"</formula>
    </cfRule>
    <cfRule type="cellIs" dxfId="2266" priority="2092" operator="between">
      <formula>"SAFRA"</formula>
      <formula>"SAFRA"</formula>
    </cfRule>
    <cfRule type="cellIs" dxfId="2265" priority="2091" operator="equal">
      <formula>"ITAÚ"</formula>
    </cfRule>
    <cfRule type="cellIs" dxfId="2264" priority="2090" operator="between">
      <formula>"ITAÚ MATRIZ"</formula>
      <formula>"ITAÚ MATRIZ"</formula>
    </cfRule>
    <cfRule type="cellIs" dxfId="2263" priority="2089" operator="equal">
      <formula>"ITAÚ MATRIZ"</formula>
    </cfRule>
    <cfRule type="cellIs" dxfId="2262" priority="2088" operator="equal">
      <formula>"ITAÚ"</formula>
    </cfRule>
    <cfRule type="cellIs" dxfId="2261" priority="2087" operator="between">
      <formula>"ITAÚ FILIAL"</formula>
      <formula>"ITAÚ FILIAL"</formula>
    </cfRule>
    <cfRule type="cellIs" dxfId="2260" priority="2086" operator="between">
      <formula>"ITAÚ FILIAL"</formula>
      <formula>"ITAÚ FILIAL"</formula>
    </cfRule>
    <cfRule type="cellIs" dxfId="2259" priority="2085" operator="between">
      <formula>"DAYCOVAL"</formula>
      <formula>"DAYCOVAL"</formula>
    </cfRule>
    <cfRule type="cellIs" dxfId="2258" priority="2084" operator="between">
      <formula>"SAFRA"</formula>
      <formula>"SAFRA"</formula>
    </cfRule>
    <cfRule type="cellIs" dxfId="2257" priority="2083" operator="between">
      <formula>"SAFRA"</formula>
      <formula>"SAFRA"</formula>
    </cfRule>
    <cfRule type="cellIs" dxfId="2256" priority="2082" operator="equal">
      <formula>"ITAÚ"</formula>
    </cfRule>
    <cfRule type="cellIs" dxfId="2255" priority="2081" operator="equal">
      <formula>"ITAÚ"</formula>
    </cfRule>
    <cfRule type="cellIs" dxfId="2254" priority="2080" operator="between">
      <formula>"ITAÚ MATRIZ"</formula>
      <formula>"ITAÚ MATRIZ"</formula>
    </cfRule>
    <cfRule type="cellIs" dxfId="2253" priority="2079" operator="between">
      <formula>"ITAÚ FILIAL"</formula>
      <formula>"ITAÚ FILIAL"</formula>
    </cfRule>
    <cfRule type="cellIs" dxfId="2252" priority="2078" operator="between">
      <formula>"ITAÚ FILIAL"</formula>
      <formula>"ITAÚ FILIAL"</formula>
    </cfRule>
    <cfRule type="cellIs" dxfId="2251" priority="2077" operator="between">
      <formula>"DAYCOVAL"</formula>
      <formula>"DAYCOVAL"</formula>
    </cfRule>
    <cfRule type="cellIs" dxfId="2250" priority="2076" operator="between">
      <formula>"SAFRA"</formula>
      <formula>"SAFRA"</formula>
    </cfRule>
    <cfRule type="cellIs" dxfId="2249" priority="2075" operator="between">
      <formula>"SAFRA"</formula>
      <formula>"SAFRA"</formula>
    </cfRule>
    <cfRule type="cellIs" dxfId="2248" priority="2074" operator="equal">
      <formula>"ITAÚ MATRIZ"</formula>
    </cfRule>
    <cfRule type="cellIs" dxfId="2247" priority="2073" operator="equal">
      <formula>"ITAÚ"</formula>
    </cfRule>
    <cfRule type="cellIs" dxfId="2246" priority="2072" operator="between">
      <formula>"ITAÚ MATRIZ"</formula>
      <formula>"ITAÚ MATRIZ"</formula>
    </cfRule>
    <cfRule type="cellIs" dxfId="2245" priority="2071" operator="equal">
      <formula>"ITAÚ MATRIZ"</formula>
    </cfRule>
    <cfRule type="cellIs" dxfId="2244" priority="2070" operator="equal">
      <formula>"ITAÚ"</formula>
    </cfRule>
    <cfRule type="cellIs" dxfId="2243" priority="2069" operator="between">
      <formula>"ITAÚ FILIAL"</formula>
      <formula>"ITAÚ FILIAL"</formula>
    </cfRule>
    <cfRule type="cellIs" dxfId="2242" priority="2068" operator="between">
      <formula>"ITAÚ FILIAL"</formula>
      <formula>"ITAÚ FILIAL"</formula>
    </cfRule>
    <cfRule type="cellIs" dxfId="2241" priority="2067" operator="between">
      <formula>"DAYCOVAL"</formula>
      <formula>"DAYCOVAL"</formula>
    </cfRule>
    <cfRule type="cellIs" dxfId="2240" priority="2066" operator="between">
      <formula>"SAFRA"</formula>
      <formula>"SAFRA"</formula>
    </cfRule>
    <cfRule type="cellIs" dxfId="2239" priority="2065" operator="between">
      <formula>"SAFRA"</formula>
      <formula>"SAFRA"</formula>
    </cfRule>
    <cfRule type="cellIs" dxfId="2238" priority="2064" operator="equal">
      <formula>"ITAÚ"</formula>
    </cfRule>
    <cfRule type="cellIs" dxfId="2237" priority="2063" operator="equal">
      <formula>"ITAÚ"</formula>
    </cfRule>
    <cfRule type="cellIs" dxfId="2236" priority="2062" operator="between">
      <formula>"ITAÚ MATRIZ"</formula>
      <formula>"ITAÚ MATRIZ"</formula>
    </cfRule>
    <cfRule type="cellIs" dxfId="2235" priority="2061" operator="between">
      <formula>"ITAÚ FILIAL"</formula>
      <formula>"ITAÚ FILIAL"</formula>
    </cfRule>
    <cfRule type="cellIs" dxfId="2234" priority="2060" operator="between">
      <formula>"ITAÚ FILIAL"</formula>
      <formula>"ITAÚ FILIAL"</formula>
    </cfRule>
    <cfRule type="cellIs" dxfId="2233" priority="2059" operator="between">
      <formula>"DAYCOVAL"</formula>
      <formula>"DAYCOVAL"</formula>
    </cfRule>
    <cfRule type="cellIs" dxfId="2232" priority="2058" operator="between">
      <formula>"SAFRA"</formula>
      <formula>"SAFRA"</formula>
    </cfRule>
    <cfRule type="cellIs" dxfId="2231" priority="2057" operator="between">
      <formula>"SAFRA"</formula>
      <formula>"SAFRA"</formula>
    </cfRule>
    <cfRule type="cellIs" dxfId="2230" priority="2056" operator="equal">
      <formula>"ITAÚ MATRIZ"</formula>
    </cfRule>
    <cfRule type="cellIs" dxfId="2229" priority="2055" operator="equal">
      <formula>"ITAÚ"</formula>
    </cfRule>
    <cfRule type="cellIs" dxfId="2228" priority="2054" operator="between">
      <formula>"ITAÚ MATRIZ"</formula>
      <formula>"ITAÚ MATRIZ"</formula>
    </cfRule>
    <cfRule type="cellIs" dxfId="2227" priority="2053" operator="equal">
      <formula>"ITAÚ MATRIZ"</formula>
    </cfRule>
    <cfRule type="cellIs" dxfId="2226" priority="2052" operator="equal">
      <formula>"ITAÚ"</formula>
    </cfRule>
    <cfRule type="cellIs" dxfId="2225" priority="2051" operator="between">
      <formula>"ITAÚ FILIAL"</formula>
      <formula>"ITAÚ FILIAL"</formula>
    </cfRule>
    <cfRule type="cellIs" dxfId="2224" priority="2050" operator="between">
      <formula>"ITAÚ FILIAL"</formula>
      <formula>"ITAÚ FILIAL"</formula>
    </cfRule>
    <cfRule type="cellIs" dxfId="2223" priority="2049" operator="between">
      <formula>"DAYCOVAL"</formula>
      <formula>"DAYCOVAL"</formula>
    </cfRule>
    <cfRule type="cellIs" dxfId="2222" priority="2048" operator="between">
      <formula>"SAFRA"</formula>
      <formula>"SAFRA"</formula>
    </cfRule>
    <cfRule type="cellIs" dxfId="2221" priority="2047" operator="between">
      <formula>"SAFRA"</formula>
      <formula>"SAFRA"</formula>
    </cfRule>
    <cfRule type="cellIs" dxfId="2220" priority="2046" operator="equal">
      <formula>"ITAÚ"</formula>
    </cfRule>
    <cfRule type="cellIs" dxfId="2219" priority="2045" operator="equal">
      <formula>"ITAÚ"</formula>
    </cfRule>
    <cfRule type="cellIs" dxfId="2218" priority="2044" operator="between">
      <formula>"ITAÚ MATRIZ"</formula>
      <formula>"ITAÚ MATRIZ"</formula>
    </cfRule>
    <cfRule type="cellIs" dxfId="2217" priority="2043" operator="between">
      <formula>"ITAÚ FILIAL"</formula>
      <formula>"ITAÚ FILIAL"</formula>
    </cfRule>
    <cfRule type="cellIs" dxfId="2216" priority="2042" operator="between">
      <formula>"ITAÚ FILIAL"</formula>
      <formula>"ITAÚ FILIAL"</formula>
    </cfRule>
    <cfRule type="cellIs" dxfId="2215" priority="2041" operator="between">
      <formula>"DAYCOVAL"</formula>
      <formula>"DAYCOVAL"</formula>
    </cfRule>
    <cfRule type="cellIs" dxfId="2214" priority="2040" operator="between">
      <formula>"SAFRA"</formula>
      <formula>"SAFRA"</formula>
    </cfRule>
    <cfRule type="cellIs" dxfId="2213" priority="2039" operator="between">
      <formula>"SAFRA"</formula>
      <formula>"SAFRA"</formula>
    </cfRule>
    <cfRule type="cellIs" dxfId="2212" priority="2038" operator="equal">
      <formula>"ITAÚ MATRIZ"</formula>
    </cfRule>
    <cfRule type="cellIs" dxfId="2211" priority="2037" operator="equal">
      <formula>"ITAÚ"</formula>
    </cfRule>
    <cfRule type="cellIs" dxfId="2210" priority="2036" operator="equal">
      <formula>"ITAÚ"</formula>
    </cfRule>
    <cfRule type="cellIs" dxfId="2209" priority="2035" operator="between">
      <formula>"ITAÚ MATRIZ"</formula>
      <formula>"ITAÚ MATRIZ"</formula>
    </cfRule>
    <cfRule type="cellIs" dxfId="2208" priority="2034" operator="between">
      <formula>"ITAÚ FILIAL"</formula>
      <formula>"ITAÚ FILIAL"</formula>
    </cfRule>
    <cfRule type="cellIs" dxfId="2207" priority="2033" operator="between">
      <formula>"ITAÚ FILIAL"</formula>
      <formula>"ITAÚ FILIAL"</formula>
    </cfRule>
    <cfRule type="cellIs" dxfId="2206" priority="2032" operator="between">
      <formula>"DAYCOVAL"</formula>
      <formula>"DAYCOVAL"</formula>
    </cfRule>
    <cfRule type="cellIs" dxfId="2205" priority="2031" operator="between">
      <formula>"SAFRA"</formula>
      <formula>"SAFRA"</formula>
    </cfRule>
    <cfRule type="cellIs" dxfId="2204" priority="2030" operator="between">
      <formula>"SAFRA"</formula>
      <formula>"SAFRA"</formula>
    </cfRule>
    <cfRule type="cellIs" dxfId="2203" priority="2029" operator="equal">
      <formula>"ITAÚ MATRIZ"</formula>
    </cfRule>
    <cfRule type="cellIs" dxfId="2202" priority="2028" operator="equal">
      <formula>"ITAÚ"</formula>
    </cfRule>
    <cfRule type="cellIs" dxfId="2201" priority="2027" operator="equal">
      <formula>"ITAÚ"</formula>
    </cfRule>
    <cfRule type="cellIs" dxfId="2200" priority="2026" operator="between">
      <formula>"ITAÚ MATRIZ"</formula>
      <formula>"ITAÚ MATRIZ"</formula>
    </cfRule>
    <cfRule type="cellIs" dxfId="2199" priority="2025" operator="between">
      <formula>"ITAÚ FILIAL"</formula>
      <formula>"ITAÚ FILIAL"</formula>
    </cfRule>
    <cfRule type="cellIs" dxfId="2198" priority="2024" operator="between">
      <formula>"ITAÚ FILIAL"</formula>
      <formula>"ITAÚ FILIAL"</formula>
    </cfRule>
    <cfRule type="cellIs" dxfId="2197" priority="2023" operator="between">
      <formula>"DAYCOVAL"</formula>
      <formula>"DAYCOVAL"</formula>
    </cfRule>
    <cfRule type="cellIs" dxfId="2196" priority="2022" operator="between">
      <formula>"SAFRA"</formula>
      <formula>"SAFRA"</formula>
    </cfRule>
    <cfRule type="cellIs" dxfId="2195" priority="2021" operator="between">
      <formula>"SAFRA"</formula>
      <formula>"SAFRA"</formula>
    </cfRule>
    <cfRule type="cellIs" dxfId="2194" priority="2020" operator="equal">
      <formula>"ITAÚ MATRIZ"</formula>
    </cfRule>
    <cfRule type="cellIs" dxfId="2193" priority="2019" operator="equal">
      <formula>"ITAÚ"</formula>
    </cfRule>
    <cfRule type="cellIs" dxfId="2192" priority="2018" operator="equal">
      <formula>"ITAÚ"</formula>
    </cfRule>
    <cfRule type="cellIs" dxfId="2191" priority="2017" operator="between">
      <formula>"ITAÚ MATRIZ"</formula>
      <formula>"ITAÚ MATRIZ"</formula>
    </cfRule>
    <cfRule type="cellIs" dxfId="2190" priority="2016" operator="between">
      <formula>"ITAÚ FILIAL"</formula>
      <formula>"ITAÚ FILIAL"</formula>
    </cfRule>
    <cfRule type="cellIs" dxfId="2189" priority="2015" operator="between">
      <formula>"ITAÚ FILIAL"</formula>
      <formula>"ITAÚ FILIAL"</formula>
    </cfRule>
    <cfRule type="cellIs" dxfId="2188" priority="2014" operator="between">
      <formula>"DAYCOVAL"</formula>
      <formula>"DAYCOVAL"</formula>
    </cfRule>
    <cfRule type="cellIs" dxfId="2187" priority="2013" operator="between">
      <formula>"SAFRA"</formula>
      <formula>"SAFRA"</formula>
    </cfRule>
    <cfRule type="cellIs" dxfId="2186" priority="2012" operator="between">
      <formula>"SAFRA"</formula>
      <formula>"SAFRA"</formula>
    </cfRule>
    <cfRule type="cellIs" dxfId="2185" priority="2011" operator="equal">
      <formula>"ITAÚ MATRIZ"</formula>
    </cfRule>
    <cfRule type="cellIs" dxfId="2184" priority="2132" operator="between">
      <formula>"SAFRA"</formula>
      <formula>"SAFRA"</formula>
    </cfRule>
    <cfRule type="cellIs" dxfId="2183" priority="2009" operator="equal">
      <formula>"ITAÚ"</formula>
    </cfRule>
    <cfRule type="cellIs" dxfId="2182" priority="2008" operator="between">
      <formula>"ITAÚ MATRIZ"</formula>
      <formula>"ITAÚ MATRIZ"</formula>
    </cfRule>
    <cfRule type="cellIs" dxfId="2181" priority="2007" operator="between">
      <formula>"ITAÚ FILIAL"</formula>
      <formula>"ITAÚ FILIAL"</formula>
    </cfRule>
    <cfRule type="cellIs" dxfId="2180" priority="2006" operator="between">
      <formula>"ITAÚ FILIAL"</formula>
      <formula>"ITAÚ FILIAL"</formula>
    </cfRule>
    <cfRule type="cellIs" dxfId="2179" priority="2005" operator="between">
      <formula>"DAYCOVAL"</formula>
      <formula>"DAYCOVAL"</formula>
    </cfRule>
    <cfRule type="cellIs" dxfId="2178" priority="2004" operator="between">
      <formula>"SAFRA"</formula>
      <formula>"SAFRA"</formula>
    </cfRule>
    <cfRule type="cellIs" dxfId="2177" priority="2003" operator="between">
      <formula>"SAFRA"</formula>
      <formula>"SAFRA"</formula>
    </cfRule>
    <cfRule type="cellIs" dxfId="2176" priority="2002" operator="equal">
      <formula>"ITAÚ MATRIZ"</formula>
    </cfRule>
    <cfRule type="cellIs" dxfId="2175" priority="2001" operator="equal">
      <formula>"ITAÚ"</formula>
    </cfRule>
    <cfRule type="cellIs" dxfId="2174" priority="2000" operator="between">
      <formula>"ITAÚ MATRIZ"</formula>
      <formula>"ITAÚ MATRIZ"</formula>
    </cfRule>
    <cfRule type="cellIs" dxfId="2173" priority="1999" operator="equal">
      <formula>"ITAÚ MATRIZ"</formula>
    </cfRule>
    <cfRule type="cellIs" dxfId="2172" priority="1998" operator="equal">
      <formula>"ITAÚ"</formula>
    </cfRule>
    <cfRule type="cellIs" dxfId="2171" priority="1997" operator="between">
      <formula>"ITAÚ FILIAL"</formula>
      <formula>"ITAÚ FILIAL"</formula>
    </cfRule>
    <cfRule type="cellIs" dxfId="2170" priority="1996" operator="between">
      <formula>"ITAÚ FILIAL"</formula>
      <formula>"ITAÚ FILIAL"</formula>
    </cfRule>
    <cfRule type="cellIs" dxfId="2169" priority="1995" operator="between">
      <formula>"DAYCOVAL"</formula>
      <formula>"DAYCOVAL"</formula>
    </cfRule>
    <cfRule type="cellIs" dxfId="2168" priority="1994" operator="between">
      <formula>"SAFRA"</formula>
      <formula>"SAFRA"</formula>
    </cfRule>
    <cfRule type="cellIs" dxfId="2167" priority="1993" operator="between">
      <formula>"SAFRA"</formula>
      <formula>"SAFRA"</formula>
    </cfRule>
    <cfRule type="cellIs" dxfId="2166" priority="1992" operator="equal">
      <formula>"ITAÚ"</formula>
    </cfRule>
    <cfRule type="cellIs" dxfId="2165" priority="1991" operator="equal">
      <formula>"ITAÚ"</formula>
    </cfRule>
    <cfRule type="cellIs" dxfId="2164" priority="1990" operator="between">
      <formula>"ITAÚ MATRIZ"</formula>
      <formula>"ITAÚ MATRIZ"</formula>
    </cfRule>
    <cfRule type="cellIs" dxfId="2163" priority="1989" operator="between">
      <formula>"ITAÚ FILIAL"</formula>
      <formula>"ITAÚ FILIAL"</formula>
    </cfRule>
    <cfRule type="cellIs" dxfId="2162" priority="1988" operator="between">
      <formula>"ITAÚ FILIAL"</formula>
      <formula>"ITAÚ FILIAL"</formula>
    </cfRule>
    <cfRule type="cellIs" dxfId="2161" priority="1987" operator="between">
      <formula>"DAYCOVAL"</formula>
      <formula>"DAYCOVAL"</formula>
    </cfRule>
    <cfRule type="cellIs" dxfId="2160" priority="1986" operator="between">
      <formula>"SAFRA"</formula>
      <formula>"SAFRA"</formula>
    </cfRule>
    <cfRule type="cellIs" dxfId="2159" priority="1985" operator="between">
      <formula>"SAFRA"</formula>
      <formula>"SAFRA"</formula>
    </cfRule>
    <cfRule type="cellIs" dxfId="2158" priority="1984" operator="equal">
      <formula>"ITAÚ MATRIZ"</formula>
    </cfRule>
    <cfRule type="cellIs" dxfId="2157" priority="1983" operator="equal">
      <formula>"ITAÚ"</formula>
    </cfRule>
    <cfRule type="cellIs" dxfId="2156" priority="1982" operator="between">
      <formula>"ITAÚ MATRIZ"</formula>
      <formula>"ITAÚ MATRIZ"</formula>
    </cfRule>
    <cfRule type="cellIs" dxfId="2155" priority="1981" operator="equal">
      <formula>"ITAÚ MATRIZ"</formula>
    </cfRule>
    <cfRule type="cellIs" dxfId="2154" priority="1980" operator="equal">
      <formula>"ITAÚ"</formula>
    </cfRule>
    <cfRule type="cellIs" dxfId="2153" priority="1979" operator="between">
      <formula>"ITAÚ FILIAL"</formula>
      <formula>"ITAÚ FILIAL"</formula>
    </cfRule>
    <cfRule type="cellIs" dxfId="2152" priority="1978" operator="between">
      <formula>"ITAÚ FILIAL"</formula>
      <formula>"ITAÚ FILIAL"</formula>
    </cfRule>
    <cfRule type="cellIs" dxfId="2151" priority="1977" operator="between">
      <formula>"DAYCOVAL"</formula>
      <formula>"DAYCOVAL"</formula>
    </cfRule>
    <cfRule type="cellIs" dxfId="2150" priority="1976" operator="between">
      <formula>"SAFRA"</formula>
      <formula>"SAFRA"</formula>
    </cfRule>
    <cfRule type="cellIs" dxfId="2149" priority="1975" operator="between">
      <formula>"SAFRA"</formula>
      <formula>"SAFRA"</formula>
    </cfRule>
    <cfRule type="cellIs" dxfId="2148" priority="1974" operator="equal">
      <formula>"ITAÚ"</formula>
    </cfRule>
    <cfRule type="cellIs" dxfId="2147" priority="1973" operator="equal">
      <formula>"ITAÚ"</formula>
    </cfRule>
    <cfRule type="cellIs" dxfId="2146" priority="1972" operator="between">
      <formula>"ITAÚ MATRIZ"</formula>
      <formula>"ITAÚ MATRIZ"</formula>
    </cfRule>
    <cfRule type="cellIs" dxfId="2145" priority="1971" operator="between">
      <formula>"ITAÚ FILIAL"</formula>
      <formula>"ITAÚ FILIAL"</formula>
    </cfRule>
    <cfRule type="cellIs" dxfId="2144" priority="1970" operator="between">
      <formula>"ITAÚ FILIAL"</formula>
      <formula>"ITAÚ FILIAL"</formula>
    </cfRule>
    <cfRule type="cellIs" dxfId="2143" priority="1969" operator="between">
      <formula>"DAYCOVAL"</formula>
      <formula>"DAYCOVAL"</formula>
    </cfRule>
    <cfRule type="cellIs" dxfId="2142" priority="1968" operator="between">
      <formula>"SAFRA"</formula>
      <formula>"SAFRA"</formula>
    </cfRule>
    <cfRule type="cellIs" dxfId="2141" priority="1967" operator="between">
      <formula>"SAFRA"</formula>
      <formula>"SAFRA"</formula>
    </cfRule>
    <cfRule type="cellIs" dxfId="2140" priority="1966" operator="equal">
      <formula>"ITAÚ MATRIZ"</formula>
    </cfRule>
    <cfRule type="cellIs" dxfId="2139" priority="1965" operator="equal">
      <formula>"ITAÚ"</formula>
    </cfRule>
    <cfRule type="cellIs" dxfId="2138" priority="1964" operator="equal">
      <formula>"ITAÚ"</formula>
    </cfRule>
    <cfRule type="cellIs" dxfId="2137" priority="1963" operator="between">
      <formula>"ITAÚ MATRIZ"</formula>
      <formula>"ITAÚ MATRIZ"</formula>
    </cfRule>
    <cfRule type="cellIs" dxfId="2136" priority="1962" operator="between">
      <formula>"ITAÚ FILIAL"</formula>
      <formula>"ITAÚ FILIAL"</formula>
    </cfRule>
    <cfRule type="cellIs" dxfId="2135" priority="1961" operator="between">
      <formula>"ITAÚ FILIAL"</formula>
      <formula>"ITAÚ FILIAL"</formula>
    </cfRule>
    <cfRule type="cellIs" dxfId="2134" priority="1960" operator="between">
      <formula>"DAYCOVAL"</formula>
      <formula>"DAYCOVAL"</formula>
    </cfRule>
    <cfRule type="cellIs" dxfId="2133" priority="1959" operator="between">
      <formula>"SAFRA"</formula>
      <formula>"SAFRA"</formula>
    </cfRule>
    <cfRule type="cellIs" dxfId="2132" priority="1958" operator="between">
      <formula>"SAFRA"</formula>
      <formula>"SAFRA"</formula>
    </cfRule>
    <cfRule type="cellIs" dxfId="2131" priority="1957" operator="equal">
      <formula>"ITAÚ MATRIZ"</formula>
    </cfRule>
    <cfRule type="cellIs" dxfId="2130" priority="1956" operator="equal">
      <formula>"ITAÚ"</formula>
    </cfRule>
    <cfRule type="cellIs" dxfId="2129" priority="1955" operator="equal">
      <formula>"ITAÚ"</formula>
    </cfRule>
    <cfRule type="cellIs" dxfId="2128" priority="1954" operator="between">
      <formula>"ITAÚ MATRIZ"</formula>
      <formula>"ITAÚ MATRIZ"</formula>
    </cfRule>
    <cfRule type="cellIs" dxfId="2127" priority="1953" operator="between">
      <formula>"ITAÚ FILIAL"</formula>
      <formula>"ITAÚ FILIAL"</formula>
    </cfRule>
    <cfRule type="cellIs" dxfId="2126" priority="1952" operator="between">
      <formula>"ITAÚ FILIAL"</formula>
      <formula>"ITAÚ FILIAL"</formula>
    </cfRule>
    <cfRule type="cellIs" dxfId="2125" priority="1951" operator="between">
      <formula>"DAYCOVAL"</formula>
      <formula>"DAYCOVAL"</formula>
    </cfRule>
    <cfRule type="cellIs" dxfId="2124" priority="1950" operator="between">
      <formula>"SAFRA"</formula>
      <formula>"SAFRA"</formula>
    </cfRule>
    <cfRule type="cellIs" dxfId="2123" priority="1949" operator="between">
      <formula>"SAFRA"</formula>
      <formula>"SAFRA"</formula>
    </cfRule>
    <cfRule type="cellIs" dxfId="2122" priority="1948" operator="equal">
      <formula>"ITAÚ MATRIZ"</formula>
    </cfRule>
    <cfRule type="cellIs" dxfId="2121" priority="1947" operator="equal">
      <formula>"ITAÚ"</formula>
    </cfRule>
    <cfRule type="cellIs" dxfId="2120" priority="1946" operator="equal">
      <formula>"ITAÚ"</formula>
    </cfRule>
    <cfRule type="cellIs" dxfId="2119" priority="1945" operator="between">
      <formula>"ITAÚ MATRIZ"</formula>
      <formula>"ITAÚ MATRIZ"</formula>
    </cfRule>
    <cfRule type="cellIs" dxfId="2118" priority="1944" operator="between">
      <formula>"ITAÚ FILIAL"</formula>
      <formula>"ITAÚ FILIAL"</formula>
    </cfRule>
    <cfRule type="cellIs" dxfId="2117" priority="1943" operator="between">
      <formula>"ITAÚ FILIAL"</formula>
      <formula>"ITAÚ FILIAL"</formula>
    </cfRule>
    <cfRule type="cellIs" dxfId="2116" priority="1942" operator="between">
      <formula>"DAYCOVAL"</formula>
      <formula>"DAYCOVAL"</formula>
    </cfRule>
    <cfRule type="cellIs" dxfId="2115" priority="1941" operator="between">
      <formula>"SAFRA"</formula>
      <formula>"SAFRA"</formula>
    </cfRule>
    <cfRule type="cellIs" dxfId="2114" priority="1940" operator="between">
      <formula>"SAFRA"</formula>
      <formula>"SAFRA"</formula>
    </cfRule>
    <cfRule type="cellIs" dxfId="2113" priority="1939" operator="equal">
      <formula>"ITAÚ MATRIZ"</formula>
    </cfRule>
    <cfRule type="cellIs" dxfId="2112" priority="1938" operator="equal">
      <formula>"ITAÚ"</formula>
    </cfRule>
    <cfRule type="cellIs" dxfId="2111" priority="1937" operator="equal">
      <formula>"ITAÚ"</formula>
    </cfRule>
    <cfRule type="cellIs" dxfId="2110" priority="1936" operator="between">
      <formula>"ITAÚ MATRIZ"</formula>
      <formula>"ITAÚ MATRIZ"</formula>
    </cfRule>
    <cfRule type="cellIs" dxfId="2109" priority="1935" operator="between">
      <formula>"ITAÚ FILIAL"</formula>
      <formula>"ITAÚ FILIAL"</formula>
    </cfRule>
    <cfRule type="cellIs" dxfId="2108" priority="1934" operator="between">
      <formula>"ITAÚ FILIAL"</formula>
      <formula>"ITAÚ FILIAL"</formula>
    </cfRule>
    <cfRule type="cellIs" dxfId="2107" priority="1933" operator="between">
      <formula>"DAYCOVAL"</formula>
      <formula>"DAYCOVAL"</formula>
    </cfRule>
    <cfRule type="cellIs" dxfId="2106" priority="1932" operator="between">
      <formula>"SAFRA"</formula>
      <formula>"SAFRA"</formula>
    </cfRule>
    <cfRule type="cellIs" dxfId="2105" priority="1931" operator="between">
      <formula>"SAFRA"</formula>
      <formula>"SAFRA"</formula>
    </cfRule>
    <cfRule type="cellIs" dxfId="2104" priority="1930" operator="equal">
      <formula>"ITAÚ MATRIZ"</formula>
    </cfRule>
    <cfRule type="cellIs" dxfId="2103" priority="1929" operator="equal">
      <formula>"ITAÚ"</formula>
    </cfRule>
    <cfRule type="cellIs" dxfId="2102" priority="1928" operator="between">
      <formula>"ITAÚ MATRIZ"</formula>
      <formula>"ITAÚ MATRIZ"</formula>
    </cfRule>
    <cfRule type="cellIs" dxfId="2101" priority="1927" operator="equal">
      <formula>"ITAÚ MATRIZ"</formula>
    </cfRule>
    <cfRule type="cellIs" dxfId="2100" priority="1926" operator="equal">
      <formula>"ITAÚ"</formula>
    </cfRule>
    <cfRule type="cellIs" dxfId="2099" priority="1925" operator="between">
      <formula>"ITAÚ FILIAL"</formula>
      <formula>"ITAÚ FILIAL"</formula>
    </cfRule>
    <cfRule type="cellIs" dxfId="2098" priority="1924" operator="between">
      <formula>"ITAÚ FILIAL"</formula>
      <formula>"ITAÚ FILIAL"</formula>
    </cfRule>
    <cfRule type="cellIs" dxfId="2097" priority="1923" operator="between">
      <formula>"DAYCOVAL"</formula>
      <formula>"DAYCOVAL"</formula>
    </cfRule>
    <cfRule type="cellIs" dxfId="2096" priority="1922" operator="between">
      <formula>"SAFRA"</formula>
      <formula>"SAFRA"</formula>
    </cfRule>
    <cfRule type="cellIs" dxfId="2095" priority="1921" operator="between">
      <formula>"SAFRA"</formula>
      <formula>"SAFRA"</formula>
    </cfRule>
    <cfRule type="cellIs" dxfId="2094" priority="1920" operator="equal">
      <formula>"ITAÚ"</formula>
    </cfRule>
    <cfRule type="cellIs" dxfId="2093" priority="1919" operator="equal">
      <formula>"ITAÚ"</formula>
    </cfRule>
    <cfRule type="cellIs" dxfId="2092" priority="1918" operator="between">
      <formula>"ITAÚ MATRIZ"</formula>
      <formula>"ITAÚ MATRIZ"</formula>
    </cfRule>
    <cfRule type="cellIs" dxfId="2091" priority="1917" operator="between">
      <formula>"ITAÚ FILIAL"</formula>
      <formula>"ITAÚ FILIAL"</formula>
    </cfRule>
    <cfRule type="cellIs" dxfId="2090" priority="1916" operator="between">
      <formula>"ITAÚ FILIAL"</formula>
      <formula>"ITAÚ FILIAL"</formula>
    </cfRule>
    <cfRule type="cellIs" dxfId="2089" priority="2129" operator="equal">
      <formula>"ITAÚ"</formula>
    </cfRule>
    <cfRule type="cellIs" dxfId="2088" priority="2128" operator="between">
      <formula>"ITAÚ MATRIZ"</formula>
      <formula>"ITAÚ MATRIZ"</formula>
    </cfRule>
    <cfRule type="cellIs" dxfId="2087" priority="2130" operator="equal">
      <formula>"ITAÚ"</formula>
    </cfRule>
    <cfRule type="cellIs" dxfId="2086" priority="2131" operator="equal">
      <formula>"ITAÚ MATRIZ"</formula>
    </cfRule>
    <cfRule type="cellIs" dxfId="2085" priority="2319" operator="equal">
      <formula>"ITAÚ"</formula>
    </cfRule>
    <cfRule type="cellIs" dxfId="2084" priority="2318" operator="between">
      <formula>"ITAÚ MATRIZ"</formula>
      <formula>"ITAÚ MATRIZ"</formula>
    </cfRule>
    <cfRule type="cellIs" dxfId="2083" priority="2317" operator="equal">
      <formula>"ITAÚ MATRIZ"</formula>
    </cfRule>
    <cfRule type="cellIs" dxfId="2082" priority="2316" operator="equal">
      <formula>"ITAÚ"</formula>
    </cfRule>
    <cfRule type="cellIs" dxfId="2081" priority="2315" operator="between">
      <formula>"ITAÚ FILIAL"</formula>
      <formula>"ITAÚ FILIAL"</formula>
    </cfRule>
    <cfRule type="cellIs" dxfId="2080" priority="2314" operator="between">
      <formula>"ITAÚ FILIAL"</formula>
      <formula>"ITAÚ FILIAL"</formula>
    </cfRule>
    <cfRule type="cellIs" dxfId="2079" priority="2313" operator="between">
      <formula>"DAYCOVAL"</formula>
      <formula>"DAYCOVAL"</formula>
    </cfRule>
    <cfRule type="cellIs" dxfId="2078" priority="2312" operator="between">
      <formula>"SAFRA"</formula>
      <formula>"SAFRA"</formula>
    </cfRule>
    <cfRule type="cellIs" dxfId="2077" priority="2311" operator="between">
      <formula>"SAFRA"</formula>
      <formula>"SAFRA"</formula>
    </cfRule>
    <cfRule type="cellIs" dxfId="2076" priority="2310" operator="equal">
      <formula>"ITAÚ"</formula>
    </cfRule>
    <cfRule type="cellIs" dxfId="2075" priority="2309" operator="between">
      <formula>"ITAÚ MATRIZ"</formula>
      <formula>"ITAÚ MATRIZ"</formula>
    </cfRule>
    <cfRule type="cellIs" dxfId="2074" priority="2308" operator="equal">
      <formula>"ITAÚ MATRIZ"</formula>
    </cfRule>
    <cfRule type="cellIs" dxfId="2073" priority="2307" operator="equal">
      <formula>"ITAÚ"</formula>
    </cfRule>
    <cfRule type="cellIs" dxfId="2072" priority="2306" operator="between">
      <formula>"ITAÚ FILIAL"</formula>
      <formula>"ITAÚ FILIAL"</formula>
    </cfRule>
    <cfRule type="cellIs" dxfId="2071" priority="2305" operator="between">
      <formula>"ITAÚ FILIAL"</formula>
      <formula>"ITAÚ FILIAL"</formula>
    </cfRule>
    <cfRule type="cellIs" dxfId="2070" priority="2304" operator="between">
      <formula>"DAYCOVAL"</formula>
      <formula>"DAYCOVAL"</formula>
    </cfRule>
    <cfRule type="cellIs" dxfId="2069" priority="2303" operator="between">
      <formula>"SAFRA"</formula>
      <formula>"SAFRA"</formula>
    </cfRule>
    <cfRule type="cellIs" dxfId="2068" priority="2302" operator="between">
      <formula>"SAFRA"</formula>
      <formula>"SAFRA"</formula>
    </cfRule>
    <cfRule type="cellIs" dxfId="2067" priority="2301" operator="equal">
      <formula>"ITAÚ"</formula>
    </cfRule>
    <cfRule type="cellIs" dxfId="2066" priority="2300" operator="equal">
      <formula>"ITAÚ"</formula>
    </cfRule>
    <cfRule type="cellIs" dxfId="2065" priority="2299" operator="between">
      <formula>"ITAÚ MATRIZ"</formula>
      <formula>"ITAÚ MATRIZ"</formula>
    </cfRule>
    <cfRule type="cellIs" dxfId="2064" priority="2298" operator="between">
      <formula>"ITAÚ FILIAL"</formula>
      <formula>"ITAÚ FILIAL"</formula>
    </cfRule>
    <cfRule type="cellIs" dxfId="2063" priority="2297" operator="between">
      <formula>"ITAÚ FILIAL"</formula>
      <formula>"ITAÚ FILIAL"</formula>
    </cfRule>
    <cfRule type="cellIs" dxfId="2062" priority="2296" operator="between">
      <formula>"DAYCOVAL"</formula>
      <formula>"DAYCOVAL"</formula>
    </cfRule>
    <cfRule type="cellIs" dxfId="2061" priority="2295" operator="between">
      <formula>"SAFRA"</formula>
      <formula>"SAFRA"</formula>
    </cfRule>
    <cfRule type="cellIs" dxfId="2060" priority="2294" operator="between">
      <formula>"SAFRA"</formula>
      <formula>"SAFRA"</formula>
    </cfRule>
    <cfRule type="cellIs" dxfId="2059" priority="2293" operator="equal">
      <formula>"ITAÚ MATRIZ"</formula>
    </cfRule>
    <cfRule type="cellIs" dxfId="2058" priority="2292" operator="equal">
      <formula>"ITAÚ"</formula>
    </cfRule>
    <cfRule type="cellIs" dxfId="2057" priority="2291" operator="between">
      <formula>"ITAÚ MATRIZ"</formula>
      <formula>"ITAÚ MATRIZ"</formula>
    </cfRule>
    <cfRule type="cellIs" dxfId="2056" priority="2290" operator="equal">
      <formula>"ITAÚ MATRIZ"</formula>
    </cfRule>
    <cfRule type="cellIs" dxfId="2055" priority="2289" operator="equal">
      <formula>"ITAÚ"</formula>
    </cfRule>
    <cfRule type="cellIs" dxfId="2054" priority="2288" operator="between">
      <formula>"ITAÚ FILIAL"</formula>
      <formula>"ITAÚ FILIAL"</formula>
    </cfRule>
    <cfRule type="cellIs" dxfId="2053" priority="2287" operator="between">
      <formula>"ITAÚ FILIAL"</formula>
      <formula>"ITAÚ FILIAL"</formula>
    </cfRule>
    <cfRule type="cellIs" dxfId="2052" priority="2286" operator="between">
      <formula>"DAYCOVAL"</formula>
      <formula>"DAYCOVAL"</formula>
    </cfRule>
    <cfRule type="cellIs" dxfId="2051" priority="2285" operator="between">
      <formula>"SAFRA"</formula>
      <formula>"SAFRA"</formula>
    </cfRule>
    <cfRule type="cellIs" dxfId="2050" priority="2284" operator="between">
      <formula>"SAFRA"</formula>
      <formula>"SAFRA"</formula>
    </cfRule>
    <cfRule type="cellIs" dxfId="2049" priority="2283" operator="equal">
      <formula>"ITAÚ"</formula>
    </cfRule>
    <cfRule type="cellIs" dxfId="2048" priority="2282" operator="equal">
      <formula>"ITAÚ"</formula>
    </cfRule>
    <cfRule type="cellIs" dxfId="2047" priority="2281" operator="between">
      <formula>"ITAÚ MATRIZ"</formula>
      <formula>"ITAÚ MATRIZ"</formula>
    </cfRule>
    <cfRule type="cellIs" dxfId="2046" priority="2280" operator="between">
      <formula>"ITAÚ FILIAL"</formula>
      <formula>"ITAÚ FILIAL"</formula>
    </cfRule>
    <cfRule type="cellIs" dxfId="2045" priority="2279" operator="between">
      <formula>"ITAÚ FILIAL"</formula>
      <formula>"ITAÚ FILIAL"</formula>
    </cfRule>
    <cfRule type="cellIs" dxfId="2044" priority="2278" operator="between">
      <formula>"DAYCOVAL"</formula>
      <formula>"DAYCOVAL"</formula>
    </cfRule>
    <cfRule type="cellIs" dxfId="2043" priority="2277" operator="between">
      <formula>"SAFRA"</formula>
      <formula>"SAFRA"</formula>
    </cfRule>
    <cfRule type="cellIs" dxfId="2042" priority="2276" operator="between">
      <formula>"SAFRA"</formula>
      <formula>"SAFRA"</formula>
    </cfRule>
    <cfRule type="cellIs" dxfId="2041" priority="2275" operator="equal">
      <formula>"ITAÚ MATRIZ"</formula>
    </cfRule>
    <cfRule type="cellIs" dxfId="2040" priority="2274" operator="equal">
      <formula>"ITAÚ"</formula>
    </cfRule>
    <cfRule type="cellIs" dxfId="2039" priority="2273" operator="between">
      <formula>"ITAÚ MATRIZ"</formula>
      <formula>"ITAÚ MATRIZ"</formula>
    </cfRule>
    <cfRule type="cellIs" dxfId="2038" priority="2272" operator="equal">
      <formula>"ITAÚ MATRIZ"</formula>
    </cfRule>
    <cfRule type="cellIs" dxfId="2037" priority="2271" operator="equal">
      <formula>"ITAÚ"</formula>
    </cfRule>
    <cfRule type="cellIs" dxfId="2036" priority="2270" operator="between">
      <formula>"ITAÚ FILIAL"</formula>
      <formula>"ITAÚ FILIAL"</formula>
    </cfRule>
    <cfRule type="cellIs" dxfId="2035" priority="2269" operator="between">
      <formula>"ITAÚ FILIAL"</formula>
      <formula>"ITAÚ FILIAL"</formula>
    </cfRule>
    <cfRule type="cellIs" dxfId="2034" priority="2268" operator="between">
      <formula>"DAYCOVAL"</formula>
      <formula>"DAYCOVAL"</formula>
    </cfRule>
    <cfRule type="cellIs" dxfId="2033" priority="2267" operator="between">
      <formula>"SAFRA"</formula>
      <formula>"SAFRA"</formula>
    </cfRule>
    <cfRule type="cellIs" dxfId="2032" priority="2266" operator="between">
      <formula>"SAFRA"</formula>
      <formula>"SAFRA"</formula>
    </cfRule>
    <cfRule type="cellIs" dxfId="2031" priority="2265" operator="equal">
      <formula>"ITAÚ"</formula>
    </cfRule>
    <cfRule type="cellIs" dxfId="2030" priority="2264" operator="equal">
      <formula>"ITAÚ"</formula>
    </cfRule>
    <cfRule type="cellIs" dxfId="2029" priority="2263" operator="between">
      <formula>"ITAÚ MATRIZ"</formula>
      <formula>"ITAÚ MATRIZ"</formula>
    </cfRule>
    <cfRule type="cellIs" dxfId="2028" priority="2262" operator="between">
      <formula>"ITAÚ FILIAL"</formula>
      <formula>"ITAÚ FILIAL"</formula>
    </cfRule>
    <cfRule type="cellIs" dxfId="2027" priority="2261" operator="between">
      <formula>"ITAÚ FILIAL"</formula>
      <formula>"ITAÚ FILIAL"</formula>
    </cfRule>
    <cfRule type="cellIs" dxfId="2026" priority="2260" operator="between">
      <formula>"DAYCOVAL"</formula>
      <formula>"DAYCOVAL"</formula>
    </cfRule>
    <cfRule type="cellIs" dxfId="2025" priority="2259" operator="between">
      <formula>"SAFRA"</formula>
      <formula>"SAFRA"</formula>
    </cfRule>
    <cfRule type="cellIs" dxfId="2024" priority="2258" operator="between">
      <formula>"SAFRA"</formula>
      <formula>"SAFRA"</formula>
    </cfRule>
    <cfRule type="cellIs" dxfId="2023" priority="2257" operator="equal">
      <formula>"ITAÚ MATRIZ"</formula>
    </cfRule>
    <cfRule type="cellIs" dxfId="2022" priority="2256" operator="equal">
      <formula>"ITAÚ"</formula>
    </cfRule>
    <cfRule type="cellIs" dxfId="2021" priority="2255" operator="equal">
      <formula>"ITAÚ"</formula>
    </cfRule>
    <cfRule type="cellIs" dxfId="2020" priority="2254" operator="between">
      <formula>"ITAÚ MATRIZ"</formula>
      <formula>"ITAÚ MATRIZ"</formula>
    </cfRule>
    <cfRule type="cellIs" dxfId="2019" priority="2253" operator="between">
      <formula>"ITAÚ FILIAL"</formula>
      <formula>"ITAÚ FILIAL"</formula>
    </cfRule>
    <cfRule type="cellIs" dxfId="2018" priority="2252" operator="between">
      <formula>"ITAÚ FILIAL"</formula>
      <formula>"ITAÚ FILIAL"</formula>
    </cfRule>
    <cfRule type="cellIs" dxfId="2017" priority="2251" operator="between">
      <formula>"DAYCOVAL"</formula>
      <formula>"DAYCOVAL"</formula>
    </cfRule>
    <cfRule type="cellIs" dxfId="2016" priority="2250" operator="between">
      <formula>"SAFRA"</formula>
      <formula>"SAFRA"</formula>
    </cfRule>
    <cfRule type="cellIs" dxfId="2015" priority="2249" operator="between">
      <formula>"SAFRA"</formula>
      <formula>"SAFRA"</formula>
    </cfRule>
    <cfRule type="cellIs" dxfId="2014" priority="2248" operator="equal">
      <formula>"ITAÚ MATRIZ"</formula>
    </cfRule>
    <cfRule type="cellIs" dxfId="2013" priority="2247" operator="equal">
      <formula>"ITAÚ"</formula>
    </cfRule>
    <cfRule type="cellIs" dxfId="2012" priority="2246" operator="equal">
      <formula>"ITAÚ"</formula>
    </cfRule>
    <cfRule type="cellIs" dxfId="2011" priority="2245" operator="between">
      <formula>"ITAÚ MATRIZ"</formula>
      <formula>"ITAÚ MATRIZ"</formula>
    </cfRule>
    <cfRule type="cellIs" dxfId="2010" priority="2244" operator="between">
      <formula>"ITAÚ FILIAL"</formula>
      <formula>"ITAÚ FILIAL"</formula>
    </cfRule>
    <cfRule type="cellIs" dxfId="2009" priority="2243" operator="between">
      <formula>"ITAÚ FILIAL"</formula>
      <formula>"ITAÚ FILIAL"</formula>
    </cfRule>
    <cfRule type="cellIs" dxfId="2008" priority="2242" operator="between">
      <formula>"DAYCOVAL"</formula>
      <formula>"DAYCOVAL"</formula>
    </cfRule>
    <cfRule type="cellIs" dxfId="2007" priority="2241" operator="between">
      <formula>"SAFRA"</formula>
      <formula>"SAFRA"</formula>
    </cfRule>
    <cfRule type="cellIs" dxfId="2006" priority="2240" operator="between">
      <formula>"SAFRA"</formula>
      <formula>"SAFRA"</formula>
    </cfRule>
    <cfRule type="cellIs" dxfId="2005" priority="2239" operator="equal">
      <formula>"ITAÚ MATRIZ"</formula>
    </cfRule>
    <cfRule type="cellIs" dxfId="2004" priority="2238" operator="equal">
      <formula>"ITAÚ"</formula>
    </cfRule>
    <cfRule type="cellIs" dxfId="2003" priority="2237" operator="equal">
      <formula>"ITAÚ"</formula>
    </cfRule>
    <cfRule type="cellIs" dxfId="2002" priority="2236" operator="between">
      <formula>"ITAÚ MATRIZ"</formula>
      <formula>"ITAÚ MATRIZ"</formula>
    </cfRule>
    <cfRule type="cellIs" dxfId="2001" priority="2235" operator="between">
      <formula>"ITAÚ FILIAL"</formula>
      <formula>"ITAÚ FILIAL"</formula>
    </cfRule>
    <cfRule type="cellIs" dxfId="2000" priority="2234" operator="between">
      <formula>"ITAÚ FILIAL"</formula>
      <formula>"ITAÚ FILIAL"</formula>
    </cfRule>
    <cfRule type="cellIs" dxfId="1999" priority="2233" operator="between">
      <formula>"DAYCOVAL"</formula>
      <formula>"DAYCOVAL"</formula>
    </cfRule>
    <cfRule type="cellIs" dxfId="1998" priority="2232" operator="between">
      <formula>"SAFRA"</formula>
      <formula>"SAFRA"</formula>
    </cfRule>
    <cfRule type="cellIs" dxfId="1997" priority="2231" operator="between">
      <formula>"SAFRA"</formula>
      <formula>"SAFRA"</formula>
    </cfRule>
    <cfRule type="cellIs" dxfId="1996" priority="2230" operator="equal">
      <formula>"ITAÚ MATRIZ"</formula>
    </cfRule>
    <cfRule type="cellIs" dxfId="1995" priority="2229" operator="equal">
      <formula>"ITAÚ"</formula>
    </cfRule>
    <cfRule type="cellIs" dxfId="1994" priority="2228" operator="equal">
      <formula>"ITAÚ"</formula>
    </cfRule>
    <cfRule type="cellIs" dxfId="1993" priority="2227" operator="between">
      <formula>"ITAÚ MATRIZ"</formula>
      <formula>"ITAÚ MATRIZ"</formula>
    </cfRule>
    <cfRule type="cellIs" dxfId="1992" priority="2226" operator="between">
      <formula>"ITAÚ FILIAL"</formula>
      <formula>"ITAÚ FILIAL"</formula>
    </cfRule>
    <cfRule type="cellIs" dxfId="1991" priority="2225" operator="between">
      <formula>"ITAÚ FILIAL"</formula>
      <formula>"ITAÚ FILIAL"</formula>
    </cfRule>
    <cfRule type="cellIs" dxfId="1990" priority="2224" operator="between">
      <formula>"DAYCOVAL"</formula>
      <formula>"DAYCOVAL"</formula>
    </cfRule>
    <cfRule type="cellIs" dxfId="1989" priority="2223" operator="between">
      <formula>"SAFRA"</formula>
      <formula>"SAFRA"</formula>
    </cfRule>
    <cfRule type="cellIs" dxfId="1988" priority="2222" operator="between">
      <formula>"SAFRA"</formula>
      <formula>"SAFRA"</formula>
    </cfRule>
    <cfRule type="cellIs" dxfId="1987" priority="2221" operator="equal">
      <formula>"ITAÚ MATRIZ"</formula>
    </cfRule>
    <cfRule type="cellIs" dxfId="1986" priority="2220" operator="equal">
      <formula>"ITAÚ"</formula>
    </cfRule>
    <cfRule type="cellIs" dxfId="1985" priority="2219" operator="between">
      <formula>"ITAÚ MATRIZ"</formula>
      <formula>"ITAÚ MATRIZ"</formula>
    </cfRule>
    <cfRule type="cellIs" dxfId="1984" priority="2218" operator="equal">
      <formula>"ITAÚ MATRIZ"</formula>
    </cfRule>
    <cfRule type="cellIs" dxfId="1983" priority="2217" operator="equal">
      <formula>"ITAÚ"</formula>
    </cfRule>
    <cfRule type="cellIs" dxfId="1982" priority="2216" operator="between">
      <formula>"ITAÚ FILIAL"</formula>
      <formula>"ITAÚ FILIAL"</formula>
    </cfRule>
    <cfRule type="cellIs" dxfId="1981" priority="2215" operator="between">
      <formula>"ITAÚ FILIAL"</formula>
      <formula>"ITAÚ FILIAL"</formula>
    </cfRule>
    <cfRule type="cellIs" dxfId="1980" priority="2214" operator="between">
      <formula>"DAYCOVAL"</formula>
      <formula>"DAYCOVAL"</formula>
    </cfRule>
    <cfRule type="cellIs" dxfId="1979" priority="2213" operator="between">
      <formula>"SAFRA"</formula>
      <formula>"SAFRA"</formula>
    </cfRule>
    <cfRule type="cellIs" dxfId="1978" priority="2212" operator="between">
      <formula>"SAFRA"</formula>
      <formula>"SAFRA"</formula>
    </cfRule>
    <cfRule type="cellIs" dxfId="1977" priority="2211" operator="equal">
      <formula>"ITAÚ"</formula>
    </cfRule>
    <cfRule type="cellIs" dxfId="1976" priority="2210" operator="equal">
      <formula>"ITAÚ"</formula>
    </cfRule>
    <cfRule type="cellIs" dxfId="1975" priority="2209" operator="between">
      <formula>"ITAÚ MATRIZ"</formula>
      <formula>"ITAÚ MATRIZ"</formula>
    </cfRule>
    <cfRule type="cellIs" dxfId="1974" priority="2208" operator="between">
      <formula>"ITAÚ FILIAL"</formula>
      <formula>"ITAÚ FILIAL"</formula>
    </cfRule>
    <cfRule type="cellIs" dxfId="1973" priority="2207" operator="between">
      <formula>"ITAÚ FILIAL"</formula>
      <formula>"ITAÚ FILIAL"</formula>
    </cfRule>
    <cfRule type="cellIs" dxfId="1972" priority="2206" operator="between">
      <formula>"DAYCOVAL"</formula>
      <formula>"DAYCOVAL"</formula>
    </cfRule>
    <cfRule type="cellIs" dxfId="1971" priority="2205" operator="between">
      <formula>"SAFRA"</formula>
      <formula>"SAFRA"</formula>
    </cfRule>
    <cfRule type="cellIs" dxfId="1970" priority="2204" operator="between">
      <formula>"SAFRA"</formula>
      <formula>"SAFRA"</formula>
    </cfRule>
    <cfRule type="cellIs" dxfId="1969" priority="2203" operator="equal">
      <formula>"ITAÚ MATRIZ"</formula>
    </cfRule>
    <cfRule type="cellIs" dxfId="1968" priority="2202" operator="equal">
      <formula>"ITAÚ"</formula>
    </cfRule>
    <cfRule type="cellIs" dxfId="1967" priority="2201" operator="between">
      <formula>"ITAÚ MATRIZ"</formula>
      <formula>"ITAÚ MATRIZ"</formula>
    </cfRule>
    <cfRule type="cellIs" dxfId="1966" priority="2200" operator="equal">
      <formula>"ITAÚ MATRIZ"</formula>
    </cfRule>
    <cfRule type="cellIs" dxfId="1965" priority="2199" operator="equal">
      <formula>"ITAÚ"</formula>
    </cfRule>
    <cfRule type="cellIs" dxfId="1964" priority="2198" operator="between">
      <formula>"ITAÚ FILIAL"</formula>
      <formula>"ITAÚ FILIAL"</formula>
    </cfRule>
    <cfRule type="cellIs" dxfId="1963" priority="2197" operator="between">
      <formula>"ITAÚ FILIAL"</formula>
      <formula>"ITAÚ FILIAL"</formula>
    </cfRule>
    <cfRule type="cellIs" dxfId="1962" priority="2196" operator="between">
      <formula>"DAYCOVAL"</formula>
      <formula>"DAYCOVAL"</formula>
    </cfRule>
    <cfRule type="cellIs" dxfId="1961" priority="2195" operator="between">
      <formula>"SAFRA"</formula>
      <formula>"SAFRA"</formula>
    </cfRule>
    <cfRule type="cellIs" dxfId="1960" priority="2194" operator="between">
      <formula>"SAFRA"</formula>
      <formula>"SAFRA"</formula>
    </cfRule>
    <cfRule type="cellIs" dxfId="1959" priority="2193" operator="equal">
      <formula>"ITAÚ"</formula>
    </cfRule>
    <cfRule type="cellIs" dxfId="1958" priority="2192" operator="equal">
      <formula>"ITAÚ"</formula>
    </cfRule>
    <cfRule type="cellIs" dxfId="1957" priority="2191" operator="between">
      <formula>"ITAÚ MATRIZ"</formula>
      <formula>"ITAÚ MATRIZ"</formula>
    </cfRule>
    <cfRule type="cellIs" dxfId="1956" priority="2190" operator="between">
      <formula>"ITAÚ FILIAL"</formula>
      <formula>"ITAÚ FILIAL"</formula>
    </cfRule>
    <cfRule type="cellIs" dxfId="1955" priority="2189" operator="between">
      <formula>"ITAÚ FILIAL"</formula>
      <formula>"ITAÚ FILIAL"</formula>
    </cfRule>
    <cfRule type="cellIs" dxfId="1954" priority="2188" operator="between">
      <formula>"DAYCOVAL"</formula>
      <formula>"DAYCOVAL"</formula>
    </cfRule>
    <cfRule type="cellIs" dxfId="1953" priority="2187" operator="between">
      <formula>"SAFRA"</formula>
      <formula>"SAFRA"</formula>
    </cfRule>
    <cfRule type="cellIs" dxfId="1952" priority="2186" operator="between">
      <formula>"SAFRA"</formula>
      <formula>"SAFRA"</formula>
    </cfRule>
    <cfRule type="cellIs" dxfId="1951" priority="2185" operator="equal">
      <formula>"ITAÚ MATRIZ"</formula>
    </cfRule>
    <cfRule type="cellIs" dxfId="1950" priority="2184" operator="equal">
      <formula>"ITAÚ"</formula>
    </cfRule>
    <cfRule type="cellIs" dxfId="1949" priority="2183" operator="equal">
      <formula>"ITAÚ"</formula>
    </cfRule>
    <cfRule type="cellIs" dxfId="1948" priority="2182" operator="between">
      <formula>"ITAÚ MATRIZ"</formula>
      <formula>"ITAÚ MATRIZ"</formula>
    </cfRule>
    <cfRule type="cellIs" dxfId="1947" priority="2181" operator="between">
      <formula>"ITAÚ FILIAL"</formula>
      <formula>"ITAÚ FILIAL"</formula>
    </cfRule>
    <cfRule type="cellIs" dxfId="1946" priority="2180" operator="between">
      <formula>"ITAÚ FILIAL"</formula>
      <formula>"ITAÚ FILIAL"</formula>
    </cfRule>
    <cfRule type="cellIs" dxfId="1945" priority="2179" operator="between">
      <formula>"DAYCOVAL"</formula>
      <formula>"DAYCOVAL"</formula>
    </cfRule>
    <cfRule type="cellIs" dxfId="1944" priority="2178" operator="between">
      <formula>"SAFRA"</formula>
      <formula>"SAFRA"</formula>
    </cfRule>
    <cfRule type="cellIs" dxfId="1943" priority="2177" operator="between">
      <formula>"SAFRA"</formula>
      <formula>"SAFRA"</formula>
    </cfRule>
    <cfRule type="cellIs" dxfId="1942" priority="2176" operator="equal">
      <formula>"ITAÚ MATRIZ"</formula>
    </cfRule>
    <cfRule type="cellIs" dxfId="1941" priority="2175" operator="equal">
      <formula>"ITAÚ"</formula>
    </cfRule>
    <cfRule type="cellIs" dxfId="1940" priority="2174" operator="equal">
      <formula>"ITAÚ"</formula>
    </cfRule>
    <cfRule type="cellIs" dxfId="1939" priority="2173" operator="between">
      <formula>"ITAÚ MATRIZ"</formula>
      <formula>"ITAÚ MATRIZ"</formula>
    </cfRule>
    <cfRule type="cellIs" dxfId="1938" priority="2172" operator="between">
      <formula>"ITAÚ FILIAL"</formula>
      <formula>"ITAÚ FILIAL"</formula>
    </cfRule>
    <cfRule type="cellIs" dxfId="1937" priority="2171" operator="between">
      <formula>"ITAÚ FILIAL"</formula>
      <formula>"ITAÚ FILIAL"</formula>
    </cfRule>
    <cfRule type="cellIs" dxfId="1936" priority="2170" operator="between">
      <formula>"DAYCOVAL"</formula>
      <formula>"DAYCOVAL"</formula>
    </cfRule>
    <cfRule type="cellIs" dxfId="1935" priority="2169" operator="between">
      <formula>"SAFRA"</formula>
      <formula>"SAFRA"</formula>
    </cfRule>
    <cfRule type="cellIs" dxfId="1934" priority="2168" operator="between">
      <formula>"SAFRA"</formula>
      <formula>"SAFRA"</formula>
    </cfRule>
    <cfRule type="cellIs" dxfId="1933" priority="2167" operator="equal">
      <formula>"ITAÚ MATRIZ"</formula>
    </cfRule>
    <cfRule type="cellIs" dxfId="1932" priority="2166" operator="equal">
      <formula>"ITAÚ"</formula>
    </cfRule>
    <cfRule type="cellIs" dxfId="1931" priority="2165" operator="equal">
      <formula>"ITAÚ"</formula>
    </cfRule>
    <cfRule type="cellIs" dxfId="1930" priority="2164" operator="between">
      <formula>"ITAÚ MATRIZ"</formula>
      <formula>"ITAÚ MATRIZ"</formula>
    </cfRule>
    <cfRule type="cellIs" dxfId="1929" priority="2163" operator="between">
      <formula>"ITAÚ FILIAL"</formula>
      <formula>"ITAÚ FILIAL"</formula>
    </cfRule>
    <cfRule type="cellIs" dxfId="1928" priority="2162" operator="between">
      <formula>"ITAÚ FILIAL"</formula>
      <formula>"ITAÚ FILIAL"</formula>
    </cfRule>
    <cfRule type="cellIs" dxfId="1927" priority="2161" operator="between">
      <formula>"DAYCOVAL"</formula>
      <formula>"DAYCOVAL"</formula>
    </cfRule>
    <cfRule type="cellIs" dxfId="1926" priority="2160" operator="between">
      <formula>"SAFRA"</formula>
      <formula>"SAFRA"</formula>
    </cfRule>
    <cfRule type="cellIs" dxfId="1925" priority="2159" operator="between">
      <formula>"SAFRA"</formula>
      <formula>"SAFRA"</formula>
    </cfRule>
    <cfRule type="cellIs" dxfId="1924" priority="2158" operator="equal">
      <formula>"ITAÚ MATRIZ"</formula>
    </cfRule>
    <cfRule type="cellIs" dxfId="1923" priority="2157" operator="equal">
      <formula>"ITAÚ"</formula>
    </cfRule>
    <cfRule type="cellIs" dxfId="1922" priority="2156" operator="equal">
      <formula>"ITAÚ"</formula>
    </cfRule>
    <cfRule type="cellIs" dxfId="1921" priority="2155" operator="between">
      <formula>"ITAÚ MATRIZ"</formula>
      <formula>"ITAÚ MATRIZ"</formula>
    </cfRule>
    <cfRule type="cellIs" dxfId="1920" priority="2154" operator="between">
      <formula>"ITAÚ FILIAL"</formula>
      <formula>"ITAÚ FILIAL"</formula>
    </cfRule>
    <cfRule type="cellIs" dxfId="1919" priority="2153" operator="between">
      <formula>"ITAÚ FILIAL"</formula>
      <formula>"ITAÚ FILIAL"</formula>
    </cfRule>
    <cfRule type="cellIs" dxfId="1918" priority="2152" operator="between">
      <formula>"DAYCOVAL"</formula>
      <formula>"DAYCOVAL"</formula>
    </cfRule>
    <cfRule type="cellIs" dxfId="1917" priority="2151" operator="between">
      <formula>"SAFRA"</formula>
      <formula>"SAFRA"</formula>
    </cfRule>
    <cfRule type="cellIs" dxfId="1916" priority="2150" operator="between">
      <formula>"SAFRA"</formula>
      <formula>"SAFRA"</formula>
    </cfRule>
    <cfRule type="cellIs" dxfId="1915" priority="2149" operator="equal">
      <formula>"ITAÚ MATRIZ"</formula>
    </cfRule>
    <cfRule type="cellIs" dxfId="1914" priority="2148" operator="equal">
      <formula>"ITAÚ"</formula>
    </cfRule>
    <cfRule type="cellIs" dxfId="1913" priority="2147" operator="between">
      <formula>"ITAÚ MATRIZ"</formula>
      <formula>"ITAÚ MATRIZ"</formula>
    </cfRule>
    <cfRule type="cellIs" dxfId="1912" priority="2146" operator="equal">
      <formula>"ITAÚ MATRIZ"</formula>
    </cfRule>
    <cfRule type="cellIs" dxfId="1911" priority="2145" operator="equal">
      <formula>"ITAÚ"</formula>
    </cfRule>
    <cfRule type="cellIs" dxfId="1910" priority="2144" operator="between">
      <formula>"ITAÚ FILIAL"</formula>
      <formula>"ITAÚ FILIAL"</formula>
    </cfRule>
    <cfRule type="cellIs" dxfId="1909" priority="2143" operator="between">
      <formula>"ITAÚ FILIAL"</formula>
      <formula>"ITAÚ FILIAL"</formula>
    </cfRule>
    <cfRule type="cellIs" dxfId="1908" priority="2142" operator="between">
      <formula>"DAYCOVAL"</formula>
      <formula>"DAYCOVAL"</formula>
    </cfRule>
    <cfRule type="cellIs" dxfId="1907" priority="2141" operator="between">
      <formula>"SAFRA"</formula>
      <formula>"SAFRA"</formula>
    </cfRule>
    <cfRule type="cellIs" dxfId="1906" priority="2140" operator="between">
      <formula>"SAFRA"</formula>
      <formula>"SAFRA"</formula>
    </cfRule>
    <cfRule type="cellIs" dxfId="1905" priority="2139" operator="equal">
      <formula>"ITAÚ"</formula>
    </cfRule>
    <cfRule type="cellIs" dxfId="1904" priority="2138" operator="equal">
      <formula>"ITAÚ"</formula>
    </cfRule>
    <cfRule type="cellIs" dxfId="1903" priority="2137" operator="between">
      <formula>"ITAÚ MATRIZ"</formula>
      <formula>"ITAÚ MATRIZ"</formula>
    </cfRule>
    <cfRule type="cellIs" dxfId="1902" priority="2136" operator="between">
      <formula>"ITAÚ FILIAL"</formula>
      <formula>"ITAÚ FILIAL"</formula>
    </cfRule>
    <cfRule type="cellIs" dxfId="1901" priority="2135" operator="between">
      <formula>"ITAÚ FILIAL"</formula>
      <formula>"ITAÚ FILIAL"</formula>
    </cfRule>
    <cfRule type="cellIs" dxfId="1900" priority="2134" operator="between">
      <formula>"DAYCOVAL"</formula>
      <formula>"DAYCOVAL"</formula>
    </cfRule>
    <cfRule type="cellIs" dxfId="1899" priority="2133" operator="between">
      <formula>"SAFRA"</formula>
      <formula>"SAFRA"</formula>
    </cfRule>
    <cfRule type="cellIs" dxfId="1898" priority="1915" operator="between">
      <formula>"DAYCOVAL"</formula>
      <formula>"DAYCOVAL"</formula>
    </cfRule>
    <cfRule type="cellIs" dxfId="1897" priority="1913" operator="between">
      <formula>"SAFRA"</formula>
      <formula>"SAFRA"</formula>
    </cfRule>
    <cfRule type="cellIs" dxfId="1896" priority="1912" operator="equal">
      <formula>"ITAÚ MATRIZ"</formula>
    </cfRule>
  </conditionalFormatting>
  <conditionalFormatting sqref="I337:I340">
    <cfRule type="cellIs" dxfId="1895" priority="1474" operator="equal">
      <formula>"ITAÚ"</formula>
    </cfRule>
    <cfRule type="cellIs" dxfId="1894" priority="1588" operator="between">
      <formula>"ITAÚ FILIAL"</formula>
      <formula>"ITAÚ FILIAL"</formula>
    </cfRule>
    <cfRule type="cellIs" dxfId="1893" priority="1460" operator="between">
      <formula>"DAYCOVAL"</formula>
      <formula>"DAYCOVAL"</formula>
    </cfRule>
    <cfRule type="cellIs" dxfId="1892" priority="1459" operator="between">
      <formula>"SAFRA"</formula>
      <formula>"SAFRA"</formula>
    </cfRule>
    <cfRule type="cellIs" dxfId="1891" priority="1458" operator="between">
      <formula>"SAFRA"</formula>
      <formula>"SAFRA"</formula>
    </cfRule>
    <cfRule type="cellIs" dxfId="1890" priority="1419" operator="between">
      <formula>"SAFRA"</formula>
      <formula>"SAFRA"</formula>
    </cfRule>
    <cfRule type="cellIs" dxfId="1889" priority="1418" operator="between">
      <formula>"SAFRA"</formula>
      <formula>"SAFRA"</formula>
    </cfRule>
    <cfRule type="cellIs" dxfId="1888" priority="1417" operator="equal">
      <formula>"ITAÚ"</formula>
    </cfRule>
    <cfRule type="cellIs" dxfId="1887" priority="1416" operator="equal">
      <formula>"ITAÚ"</formula>
    </cfRule>
    <cfRule type="cellIs" dxfId="1886" priority="1415" operator="between">
      <formula>"ITAÚ MATRIZ"</formula>
      <formula>"ITAÚ MATRIZ"</formula>
    </cfRule>
    <cfRule type="cellIs" dxfId="1885" priority="1414" operator="between">
      <formula>"ITAÚ FILIAL"</formula>
      <formula>"ITAÚ FILIAL"</formula>
    </cfRule>
    <cfRule type="cellIs" dxfId="1884" priority="1413" operator="between">
      <formula>"ITAÚ FILIAL"</formula>
      <formula>"ITAÚ FILIAL"</formula>
    </cfRule>
    <cfRule type="cellIs" dxfId="1883" priority="1412" operator="between">
      <formula>"DAYCOVAL"</formula>
      <formula>"DAYCOVAL"</formula>
    </cfRule>
    <cfRule type="cellIs" dxfId="1882" priority="1411" operator="between">
      <formula>"SAFRA"</formula>
      <formula>"SAFRA"</formula>
    </cfRule>
    <cfRule type="cellIs" dxfId="1881" priority="1410" operator="between">
      <formula>"SAFRA"</formula>
      <formula>"SAFRA"</formula>
    </cfRule>
    <cfRule type="cellIs" dxfId="1880" priority="1409" operator="equal">
      <formula>"ITAÚ MATRIZ"</formula>
    </cfRule>
    <cfRule type="cellIs" dxfId="1879" priority="1408" operator="equal">
      <formula>"ITAÚ"</formula>
    </cfRule>
    <cfRule type="cellIs" dxfId="1878" priority="1407" operator="between">
      <formula>"ITAÚ MATRIZ"</formula>
      <formula>"ITAÚ MATRIZ"</formula>
    </cfRule>
    <cfRule type="cellIs" dxfId="1877" priority="1406" operator="equal">
      <formula>"ITAÚ MATRIZ"</formula>
    </cfRule>
    <cfRule type="cellIs" dxfId="1876" priority="1405" operator="equal">
      <formula>"ITAÚ"</formula>
    </cfRule>
    <cfRule type="cellIs" dxfId="1875" priority="1404" operator="between">
      <formula>"ITAÚ FILIAL"</formula>
      <formula>"ITAÚ FILIAL"</formula>
    </cfRule>
    <cfRule type="cellIs" dxfId="1874" priority="1403" operator="between">
      <formula>"ITAÚ FILIAL"</formula>
      <formula>"ITAÚ FILIAL"</formula>
    </cfRule>
    <cfRule type="cellIs" dxfId="1873" priority="1402" operator="between">
      <formula>"DAYCOVAL"</formula>
      <formula>"DAYCOVAL"</formula>
    </cfRule>
    <cfRule type="cellIs" dxfId="1872" priority="1401" operator="between">
      <formula>"SAFRA"</formula>
      <formula>"SAFRA"</formula>
    </cfRule>
    <cfRule type="cellIs" dxfId="1871" priority="1400" operator="between">
      <formula>"SAFRA"</formula>
      <formula>"SAFRA"</formula>
    </cfRule>
    <cfRule type="cellIs" dxfId="1870" priority="1399" operator="equal">
      <formula>"ITAÚ"</formula>
    </cfRule>
    <cfRule type="cellIs" dxfId="1869" priority="1398" operator="equal">
      <formula>"ITAÚ"</formula>
    </cfRule>
    <cfRule type="cellIs" dxfId="1868" priority="1397" operator="between">
      <formula>"ITAÚ MATRIZ"</formula>
      <formula>"ITAÚ MATRIZ"</formula>
    </cfRule>
    <cfRule type="cellIs" dxfId="1867" priority="1396" operator="between">
      <formula>"ITAÚ FILIAL"</formula>
      <formula>"ITAÚ FILIAL"</formula>
    </cfRule>
    <cfRule type="cellIs" dxfId="1866" priority="1395" operator="between">
      <formula>"ITAÚ FILIAL"</formula>
      <formula>"ITAÚ FILIAL"</formula>
    </cfRule>
    <cfRule type="cellIs" dxfId="1865" priority="1394" operator="between">
      <formula>"DAYCOVAL"</formula>
      <formula>"DAYCOVAL"</formula>
    </cfRule>
    <cfRule type="cellIs" dxfId="1864" priority="1393" operator="between">
      <formula>"SAFRA"</formula>
      <formula>"SAFRA"</formula>
    </cfRule>
    <cfRule type="cellIs" dxfId="1863" priority="1392" operator="between">
      <formula>"SAFRA"</formula>
      <formula>"SAFRA"</formula>
    </cfRule>
    <cfRule type="cellIs" dxfId="1862" priority="1391" operator="equal">
      <formula>"ITAÚ MATRIZ"</formula>
    </cfRule>
    <cfRule type="cellIs" dxfId="1861" priority="1477" operator="between">
      <formula>"DAYCOVAL"</formula>
      <formula>"DAYCOVAL"</formula>
    </cfRule>
    <cfRule type="cellIs" dxfId="1860" priority="1478" operator="between">
      <formula>"ITAÚ FILIAL"</formula>
      <formula>"ITAÚ FILIAL"</formula>
    </cfRule>
    <cfRule type="cellIs" dxfId="1859" priority="1479" operator="between">
      <formula>"ITAÚ FILIAL"</formula>
      <formula>"ITAÚ FILIAL"</formula>
    </cfRule>
    <cfRule type="cellIs" dxfId="1858" priority="1480" operator="equal">
      <formula>"ITAÚ"</formula>
    </cfRule>
    <cfRule type="cellIs" dxfId="1857" priority="1481" operator="equal">
      <formula>"ITAÚ MATRIZ"</formula>
    </cfRule>
    <cfRule type="cellIs" dxfId="1856" priority="1482" operator="between">
      <formula>"ITAÚ MATRIZ"</formula>
      <formula>"ITAÚ MATRIZ"</formula>
    </cfRule>
    <cfRule type="cellIs" dxfId="1855" priority="1483" operator="equal">
      <formula>"ITAÚ"</formula>
    </cfRule>
    <cfRule type="cellIs" dxfId="1854" priority="1484" operator="equal">
      <formula>"ITAÚ MATRIZ"</formula>
    </cfRule>
    <cfRule type="cellIs" dxfId="1853" priority="1485" operator="between">
      <formula>"SAFRA"</formula>
      <formula>"SAFRA"</formula>
    </cfRule>
    <cfRule type="cellIs" dxfId="1852" priority="1486" operator="between">
      <formula>"SAFRA"</formula>
      <formula>"SAFRA"</formula>
    </cfRule>
    <cfRule type="cellIs" dxfId="1851" priority="1487" operator="between">
      <formula>"DAYCOVAL"</formula>
      <formula>"DAYCOVAL"</formula>
    </cfRule>
    <cfRule type="cellIs" dxfId="1850" priority="1488" operator="between">
      <formula>"ITAÚ FILIAL"</formula>
      <formula>"ITAÚ FILIAL"</formula>
    </cfRule>
    <cfRule type="cellIs" dxfId="1849" priority="1489" operator="between">
      <formula>"ITAÚ FILIAL"</formula>
      <formula>"ITAÚ FILIAL"</formula>
    </cfRule>
    <cfRule type="cellIs" dxfId="1848" priority="1490" operator="between">
      <formula>"ITAÚ MATRIZ"</formula>
      <formula>"ITAÚ MATRIZ"</formula>
    </cfRule>
    <cfRule type="cellIs" dxfId="1847" priority="1491" operator="equal">
      <formula>"ITAÚ"</formula>
    </cfRule>
    <cfRule type="cellIs" dxfId="1846" priority="1492" operator="equal">
      <formula>"ITAÚ"</formula>
    </cfRule>
    <cfRule type="cellIs" dxfId="1845" priority="1493" operator="equal">
      <formula>"ITAÚ MATRIZ"</formula>
    </cfRule>
    <cfRule type="cellIs" dxfId="1844" priority="1494" operator="between">
      <formula>"SAFRA"</formula>
      <formula>"SAFRA"</formula>
    </cfRule>
    <cfRule type="cellIs" dxfId="1843" priority="1495" operator="between">
      <formula>"SAFRA"</formula>
      <formula>"SAFRA"</formula>
    </cfRule>
    <cfRule type="cellIs" dxfId="1842" priority="1496" operator="between">
      <formula>"DAYCOVAL"</formula>
      <formula>"DAYCOVAL"</formula>
    </cfRule>
    <cfRule type="cellIs" dxfId="1841" priority="1497" operator="between">
      <formula>"ITAÚ FILIAL"</formula>
      <formula>"ITAÚ FILIAL"</formula>
    </cfRule>
    <cfRule type="cellIs" dxfId="1840" priority="1498" operator="between">
      <formula>"ITAÚ FILIAL"</formula>
      <formula>"ITAÚ FILIAL"</formula>
    </cfRule>
    <cfRule type="cellIs" dxfId="1839" priority="1499" operator="between">
      <formula>"ITAÚ MATRIZ"</formula>
      <formula>"ITAÚ MATRIZ"</formula>
    </cfRule>
    <cfRule type="cellIs" dxfId="1838" priority="1500" operator="equal">
      <formula>"ITAÚ"</formula>
    </cfRule>
    <cfRule type="cellIs" dxfId="1837" priority="1501" operator="equal">
      <formula>"ITAÚ"</formula>
    </cfRule>
    <cfRule type="cellIs" dxfId="1836" priority="1502" operator="equal">
      <formula>"ITAÚ MATRIZ"</formula>
    </cfRule>
    <cfRule type="cellIs" dxfId="1835" priority="1503" operator="between">
      <formula>"SAFRA"</formula>
      <formula>"SAFRA"</formula>
    </cfRule>
    <cfRule type="cellIs" dxfId="1834" priority="1504" operator="between">
      <formula>"SAFRA"</formula>
      <formula>"SAFRA"</formula>
    </cfRule>
    <cfRule type="cellIs" dxfId="1833" priority="1505" operator="between">
      <formula>"DAYCOVAL"</formula>
      <formula>"DAYCOVAL"</formula>
    </cfRule>
    <cfRule type="cellIs" dxfId="1832" priority="1506" operator="between">
      <formula>"ITAÚ FILIAL"</formula>
      <formula>"ITAÚ FILIAL"</formula>
    </cfRule>
    <cfRule type="cellIs" dxfId="1831" priority="1507" operator="between">
      <formula>"ITAÚ FILIAL"</formula>
      <formula>"ITAÚ FILIAL"</formula>
    </cfRule>
    <cfRule type="cellIs" dxfId="1830" priority="1508" operator="between">
      <formula>"ITAÚ MATRIZ"</formula>
      <formula>"ITAÚ MATRIZ"</formula>
    </cfRule>
    <cfRule type="cellIs" dxfId="1829" priority="1509" operator="equal">
      <formula>"ITAÚ"</formula>
    </cfRule>
    <cfRule type="cellIs" dxfId="1828" priority="1510" operator="equal">
      <formula>"ITAÚ"</formula>
    </cfRule>
    <cfRule type="cellIs" dxfId="1827" priority="1511" operator="equal">
      <formula>"ITAÚ MATRIZ"</formula>
    </cfRule>
    <cfRule type="cellIs" dxfId="1826" priority="1512" operator="between">
      <formula>"SAFRA"</formula>
      <formula>"SAFRA"</formula>
    </cfRule>
    <cfRule type="cellIs" dxfId="1825" priority="1513" operator="between">
      <formula>"SAFRA"</formula>
      <formula>"SAFRA"</formula>
    </cfRule>
    <cfRule type="cellIs" dxfId="1824" priority="1514" operator="between">
      <formula>"DAYCOVAL"</formula>
      <formula>"DAYCOVAL"</formula>
    </cfRule>
    <cfRule type="cellIs" dxfId="1823" priority="1515" operator="between">
      <formula>"ITAÚ FILIAL"</formula>
      <formula>"ITAÚ FILIAL"</formula>
    </cfRule>
    <cfRule type="cellIs" dxfId="1822" priority="1516" operator="between">
      <formula>"ITAÚ FILIAL"</formula>
      <formula>"ITAÚ FILIAL"</formula>
    </cfRule>
    <cfRule type="cellIs" dxfId="1821" priority="1517" operator="between">
      <formula>"ITAÚ MATRIZ"</formula>
      <formula>"ITAÚ MATRIZ"</formula>
    </cfRule>
    <cfRule type="cellIs" dxfId="1820" priority="1518" operator="equal">
      <formula>"ITAÚ"</formula>
    </cfRule>
    <cfRule type="cellIs" dxfId="1819" priority="1519" operator="equal">
      <formula>"ITAÚ"</formula>
    </cfRule>
    <cfRule type="cellIs" dxfId="1818" priority="1520" operator="equal">
      <formula>"ITAÚ MATRIZ"</formula>
    </cfRule>
    <cfRule type="cellIs" dxfId="1817" priority="1521" operator="between">
      <formula>"SAFRA"</formula>
      <formula>"SAFRA"</formula>
    </cfRule>
    <cfRule type="cellIs" dxfId="1816" priority="1522" operator="between">
      <formula>"SAFRA"</formula>
      <formula>"SAFRA"</formula>
    </cfRule>
    <cfRule type="cellIs" dxfId="1815" priority="1523" operator="between">
      <formula>"DAYCOVAL"</formula>
      <formula>"DAYCOVAL"</formula>
    </cfRule>
    <cfRule type="cellIs" dxfId="1814" priority="1524" operator="between">
      <formula>"ITAÚ FILIAL"</formula>
      <formula>"ITAÚ FILIAL"</formula>
    </cfRule>
    <cfRule type="cellIs" dxfId="1813" priority="1525" operator="between">
      <formula>"ITAÚ FILIAL"</formula>
      <formula>"ITAÚ FILIAL"</formula>
    </cfRule>
    <cfRule type="cellIs" dxfId="1812" priority="1526" operator="between">
      <formula>"ITAÚ MATRIZ"</formula>
      <formula>"ITAÚ MATRIZ"</formula>
    </cfRule>
    <cfRule type="cellIs" dxfId="1811" priority="1527" operator="equal">
      <formula>"ITAÚ"</formula>
    </cfRule>
    <cfRule type="cellIs" dxfId="1810" priority="1528" operator="equal">
      <formula>"ITAÚ"</formula>
    </cfRule>
    <cfRule type="cellIs" dxfId="1809" priority="1529" operator="between">
      <formula>"SAFRA"</formula>
      <formula>"SAFRA"</formula>
    </cfRule>
    <cfRule type="cellIs" dxfId="1808" priority="1530" operator="between">
      <formula>"SAFRA"</formula>
      <formula>"SAFRA"</formula>
    </cfRule>
    <cfRule type="cellIs" dxfId="1807" priority="1531" operator="between">
      <formula>"DAYCOVAL"</formula>
      <formula>"DAYCOVAL"</formula>
    </cfRule>
    <cfRule type="cellIs" dxfId="1806" priority="1532" operator="between">
      <formula>"ITAÚ FILIAL"</formula>
      <formula>"ITAÚ FILIAL"</formula>
    </cfRule>
    <cfRule type="cellIs" dxfId="1805" priority="1533" operator="between">
      <formula>"ITAÚ FILIAL"</formula>
      <formula>"ITAÚ FILIAL"</formula>
    </cfRule>
    <cfRule type="cellIs" dxfId="1804" priority="1534" operator="equal">
      <formula>"ITAÚ"</formula>
    </cfRule>
    <cfRule type="cellIs" dxfId="1803" priority="1535" operator="equal">
      <formula>"ITAÚ MATRIZ"</formula>
    </cfRule>
    <cfRule type="cellIs" dxfId="1802" priority="1536" operator="between">
      <formula>"ITAÚ MATRIZ"</formula>
      <formula>"ITAÚ MATRIZ"</formula>
    </cfRule>
    <cfRule type="cellIs" dxfId="1801" priority="1537" operator="equal">
      <formula>"ITAÚ"</formula>
    </cfRule>
    <cfRule type="cellIs" dxfId="1800" priority="1538" operator="equal">
      <formula>"ITAÚ MATRIZ"</formula>
    </cfRule>
    <cfRule type="cellIs" dxfId="1799" priority="1539" operator="between">
      <formula>"SAFRA"</formula>
      <formula>"SAFRA"</formula>
    </cfRule>
    <cfRule type="cellIs" dxfId="1798" priority="1540" operator="between">
      <formula>"SAFRA"</formula>
      <formula>"SAFRA"</formula>
    </cfRule>
    <cfRule type="cellIs" dxfId="1797" priority="1541" operator="between">
      <formula>"DAYCOVAL"</formula>
      <formula>"DAYCOVAL"</formula>
    </cfRule>
    <cfRule type="cellIs" dxfId="1796" priority="1542" operator="between">
      <formula>"ITAÚ FILIAL"</formula>
      <formula>"ITAÚ FILIAL"</formula>
    </cfRule>
    <cfRule type="cellIs" dxfId="1795" priority="1543" operator="between">
      <formula>"ITAÚ FILIAL"</formula>
      <formula>"ITAÚ FILIAL"</formula>
    </cfRule>
    <cfRule type="cellIs" dxfId="1794" priority="1544" operator="between">
      <formula>"ITAÚ MATRIZ"</formula>
      <formula>"ITAÚ MATRIZ"</formula>
    </cfRule>
    <cfRule type="cellIs" dxfId="1793" priority="1545" operator="equal">
      <formula>"ITAÚ"</formula>
    </cfRule>
    <cfRule type="cellIs" dxfId="1792" priority="1546" operator="equal">
      <formula>"ITAÚ"</formula>
    </cfRule>
    <cfRule type="cellIs" dxfId="1791" priority="1547" operator="between">
      <formula>"SAFRA"</formula>
      <formula>"SAFRA"</formula>
    </cfRule>
    <cfRule type="cellIs" dxfId="1790" priority="1548" operator="between">
      <formula>"SAFRA"</formula>
      <formula>"SAFRA"</formula>
    </cfRule>
    <cfRule type="cellIs" dxfId="1789" priority="1549" operator="between">
      <formula>"DAYCOVAL"</formula>
      <formula>"DAYCOVAL"</formula>
    </cfRule>
    <cfRule type="cellIs" dxfId="1788" priority="1550" operator="between">
      <formula>"ITAÚ FILIAL"</formula>
      <formula>"ITAÚ FILIAL"</formula>
    </cfRule>
    <cfRule type="cellIs" dxfId="1787" priority="1551" operator="between">
      <formula>"ITAÚ FILIAL"</formula>
      <formula>"ITAÚ FILIAL"</formula>
    </cfRule>
    <cfRule type="cellIs" dxfId="1786" priority="1552" operator="equal">
      <formula>"ITAÚ"</formula>
    </cfRule>
    <cfRule type="cellIs" dxfId="1785" priority="1553" operator="equal">
      <formula>"ITAÚ MATRIZ"</formula>
    </cfRule>
    <cfRule type="cellIs" dxfId="1784" priority="1554" operator="between">
      <formula>"ITAÚ MATRIZ"</formula>
      <formula>"ITAÚ MATRIZ"</formula>
    </cfRule>
    <cfRule type="cellIs" dxfId="1783" priority="1555" operator="equal">
      <formula>"ITAÚ"</formula>
    </cfRule>
    <cfRule type="cellIs" dxfId="1782" priority="1556" operator="equal">
      <formula>"ITAÚ MATRIZ"</formula>
    </cfRule>
    <cfRule type="cellIs" dxfId="1781" priority="1557" operator="between">
      <formula>"SAFRA"</formula>
      <formula>"SAFRA"</formula>
    </cfRule>
    <cfRule type="cellIs" dxfId="1780" priority="1558" operator="between">
      <formula>"SAFRA"</formula>
      <formula>"SAFRA"</formula>
    </cfRule>
    <cfRule type="cellIs" dxfId="1779" priority="1559" operator="between">
      <formula>"DAYCOVAL"</formula>
      <formula>"DAYCOVAL"</formula>
    </cfRule>
    <cfRule type="cellIs" dxfId="1778" priority="1560" operator="between">
      <formula>"ITAÚ FILIAL"</formula>
      <formula>"ITAÚ FILIAL"</formula>
    </cfRule>
    <cfRule type="cellIs" dxfId="1777" priority="1561" operator="between">
      <formula>"ITAÚ FILIAL"</formula>
      <formula>"ITAÚ FILIAL"</formula>
    </cfRule>
    <cfRule type="cellIs" dxfId="1776" priority="1562" operator="between">
      <formula>"ITAÚ MATRIZ"</formula>
      <formula>"ITAÚ MATRIZ"</formula>
    </cfRule>
    <cfRule type="cellIs" dxfId="1775" priority="1563" operator="equal">
      <formula>"ITAÚ"</formula>
    </cfRule>
    <cfRule type="cellIs" dxfId="1774" priority="1564" operator="equal">
      <formula>"ITAÚ"</formula>
    </cfRule>
    <cfRule type="cellIs" dxfId="1773" priority="1565" operator="equal">
      <formula>"ITAÚ MATRIZ"</formula>
    </cfRule>
    <cfRule type="cellIs" dxfId="1772" priority="1566" operator="between">
      <formula>"SAFRA"</formula>
      <formula>"SAFRA"</formula>
    </cfRule>
    <cfRule type="cellIs" dxfId="1771" priority="1567" operator="between">
      <formula>"SAFRA"</formula>
      <formula>"SAFRA"</formula>
    </cfRule>
    <cfRule type="cellIs" dxfId="1770" priority="1568" operator="between">
      <formula>"DAYCOVAL"</formula>
      <formula>"DAYCOVAL"</formula>
    </cfRule>
    <cfRule type="cellIs" dxfId="1769" priority="1569" operator="between">
      <formula>"ITAÚ FILIAL"</formula>
      <formula>"ITAÚ FILIAL"</formula>
    </cfRule>
    <cfRule type="cellIs" dxfId="1768" priority="1570" operator="between">
      <formula>"ITAÚ FILIAL"</formula>
      <formula>"ITAÚ FILIAL"</formula>
    </cfRule>
    <cfRule type="cellIs" dxfId="1767" priority="1571" operator="between">
      <formula>"ITAÚ MATRIZ"</formula>
      <formula>"ITAÚ MATRIZ"</formula>
    </cfRule>
    <cfRule type="cellIs" dxfId="1766" priority="1572" operator="equal">
      <formula>"ITAÚ"</formula>
    </cfRule>
    <cfRule type="cellIs" dxfId="1765" priority="1573" operator="equal">
      <formula>"ITAÚ"</formula>
    </cfRule>
    <cfRule type="cellIs" dxfId="1764" priority="1574" operator="equal">
      <formula>"ITAÚ MATRIZ"</formula>
    </cfRule>
    <cfRule type="cellIs" dxfId="1763" priority="1575" operator="between">
      <formula>"SAFRA"</formula>
      <formula>"SAFRA"</formula>
    </cfRule>
    <cfRule type="cellIs" dxfId="1762" priority="1576" operator="between">
      <formula>"SAFRA"</formula>
      <formula>"SAFRA"</formula>
    </cfRule>
    <cfRule type="cellIs" dxfId="1761" priority="1577" operator="between">
      <formula>"DAYCOVAL"</formula>
      <formula>"DAYCOVAL"</formula>
    </cfRule>
    <cfRule type="cellIs" dxfId="1760" priority="1578" operator="between">
      <formula>"ITAÚ FILIAL"</formula>
      <formula>"ITAÚ FILIAL"</formula>
    </cfRule>
    <cfRule type="cellIs" dxfId="1759" priority="1579" operator="between">
      <formula>"ITAÚ FILIAL"</formula>
      <formula>"ITAÚ FILIAL"</formula>
    </cfRule>
    <cfRule type="cellIs" dxfId="1758" priority="1580" operator="between">
      <formula>"ITAÚ MATRIZ"</formula>
      <formula>"ITAÚ MATRIZ"</formula>
    </cfRule>
    <cfRule type="cellIs" dxfId="1757" priority="1581" operator="equal">
      <formula>"ITAÚ"</formula>
    </cfRule>
    <cfRule type="cellIs" dxfId="1756" priority="1582" operator="equal">
      <formula>"ITAÚ"</formula>
    </cfRule>
    <cfRule type="cellIs" dxfId="1755" priority="1390" operator="equal">
      <formula>"ITAÚ"</formula>
    </cfRule>
    <cfRule type="cellIs" dxfId="1754" priority="1389" operator="between">
      <formula>"ITAÚ MATRIZ"</formula>
      <formula>"ITAÚ MATRIZ"</formula>
    </cfRule>
    <cfRule type="cellIs" dxfId="1753" priority="1388" operator="equal">
      <formula>"ITAÚ MATRIZ"</formula>
    </cfRule>
    <cfRule type="cellIs" dxfId="1752" priority="1387" operator="equal">
      <formula>"ITAÚ"</formula>
    </cfRule>
    <cfRule type="cellIs" dxfId="1751" priority="1386" operator="between">
      <formula>"ITAÚ FILIAL"</formula>
      <formula>"ITAÚ FILIAL"</formula>
    </cfRule>
    <cfRule type="cellIs" dxfId="1750" priority="1583" operator="equal">
      <formula>"ITAÚ MATRIZ"</formula>
    </cfRule>
    <cfRule type="cellIs" dxfId="1749" priority="1584" operator="between">
      <formula>"SAFRA"</formula>
      <formula>"SAFRA"</formula>
    </cfRule>
    <cfRule type="cellIs" dxfId="1748" priority="1585" operator="between">
      <formula>"SAFRA"</formula>
      <formula>"SAFRA"</formula>
    </cfRule>
    <cfRule type="cellIs" dxfId="1747" priority="1385" operator="between">
      <formula>"ITAÚ FILIAL"</formula>
      <formula>"ITAÚ FILIAL"</formula>
    </cfRule>
    <cfRule type="cellIs" dxfId="1746" priority="1384" operator="between">
      <formula>"DAYCOVAL"</formula>
      <formula>"DAYCOVAL"</formula>
    </cfRule>
    <cfRule type="cellIs" dxfId="1745" priority="1383" operator="between">
      <formula>"SAFRA"</formula>
      <formula>"SAFRA"</formula>
    </cfRule>
    <cfRule type="cellIs" dxfId="1744" priority="1382" operator="between">
      <formula>"SAFRA"</formula>
      <formula>"SAFRA"</formula>
    </cfRule>
    <cfRule type="cellIs" dxfId="1743" priority="1381" operator="equal">
      <formula>"ITAÚ"</formula>
    </cfRule>
    <cfRule type="cellIs" dxfId="1742" priority="1380" operator="equal">
      <formula>"ITAÚ"</formula>
    </cfRule>
    <cfRule type="cellIs" dxfId="1741" priority="1379" operator="between">
      <formula>"ITAÚ MATRIZ"</formula>
      <formula>"ITAÚ MATRIZ"</formula>
    </cfRule>
    <cfRule type="cellIs" dxfId="1740" priority="1378" operator="between">
      <formula>"ITAÚ FILIAL"</formula>
      <formula>"ITAÚ FILIAL"</formula>
    </cfRule>
    <cfRule type="cellIs" dxfId="1739" priority="1377" operator="between">
      <formula>"ITAÚ FILIAL"</formula>
      <formula>"ITAÚ FILIAL"</formula>
    </cfRule>
    <cfRule type="cellIs" dxfId="1738" priority="1376" operator="between">
      <formula>"DAYCOVAL"</formula>
      <formula>"DAYCOVAL"</formula>
    </cfRule>
    <cfRule type="cellIs" dxfId="1737" priority="1375" operator="between">
      <formula>"SAFRA"</formula>
      <formula>"SAFRA"</formula>
    </cfRule>
    <cfRule type="cellIs" dxfId="1736" priority="1374" operator="between">
      <formula>"SAFRA"</formula>
      <formula>"SAFRA"</formula>
    </cfRule>
    <cfRule type="cellIs" dxfId="1735" priority="1373" operator="equal">
      <formula>"ITAÚ MATRIZ"</formula>
    </cfRule>
    <cfRule type="cellIs" dxfId="1734" priority="1372" operator="equal">
      <formula>"ITAÚ"</formula>
    </cfRule>
    <cfRule type="cellIs" dxfId="1733" priority="1371" operator="equal">
      <formula>"ITAÚ"</formula>
    </cfRule>
    <cfRule type="cellIs" dxfId="1732" priority="1370" operator="between">
      <formula>"ITAÚ MATRIZ"</formula>
      <formula>"ITAÚ MATRIZ"</formula>
    </cfRule>
    <cfRule type="cellIs" dxfId="1731" priority="1369" operator="between">
      <formula>"ITAÚ FILIAL"</formula>
      <formula>"ITAÚ FILIAL"</formula>
    </cfRule>
    <cfRule type="cellIs" dxfId="1730" priority="1368" operator="between">
      <formula>"ITAÚ FILIAL"</formula>
      <formula>"ITAÚ FILIAL"</formula>
    </cfRule>
    <cfRule type="cellIs" dxfId="1729" priority="1367" operator="between">
      <formula>"DAYCOVAL"</formula>
      <formula>"DAYCOVAL"</formula>
    </cfRule>
    <cfRule type="cellIs" dxfId="1728" priority="1366" operator="between">
      <formula>"SAFRA"</formula>
      <formula>"SAFRA"</formula>
    </cfRule>
    <cfRule type="cellIs" dxfId="1727" priority="1365" operator="between">
      <formula>"SAFRA"</formula>
      <formula>"SAFRA"</formula>
    </cfRule>
    <cfRule type="cellIs" dxfId="1726" priority="1364" operator="equal">
      <formula>"ITAÚ MATRIZ"</formula>
    </cfRule>
    <cfRule type="cellIs" dxfId="1725" priority="1363" operator="equal">
      <formula>"ITAÚ"</formula>
    </cfRule>
    <cfRule type="cellIs" dxfId="1724" priority="1362" operator="equal">
      <formula>"ITAÚ"</formula>
    </cfRule>
    <cfRule type="cellIs" dxfId="1723" priority="1361" operator="between">
      <formula>"ITAÚ MATRIZ"</formula>
      <formula>"ITAÚ MATRIZ"</formula>
    </cfRule>
    <cfRule type="cellIs" dxfId="1722" priority="1463" operator="between">
      <formula>"ITAÚ MATRIZ"</formula>
      <formula>"ITAÚ MATRIZ"</formula>
    </cfRule>
    <cfRule type="cellIs" dxfId="1721" priority="1360" operator="between">
      <formula>"ITAÚ FILIAL"</formula>
      <formula>"ITAÚ FILIAL"</formula>
    </cfRule>
    <cfRule type="cellIs" dxfId="1720" priority="1359" operator="between">
      <formula>"ITAÚ FILIAL"</formula>
      <formula>"ITAÚ FILIAL"</formula>
    </cfRule>
    <cfRule type="cellIs" dxfId="1719" priority="1358" operator="between">
      <formula>"DAYCOVAL"</formula>
      <formula>"DAYCOVAL"</formula>
    </cfRule>
    <cfRule type="cellIs" dxfId="1718" priority="1357" operator="between">
      <formula>"SAFRA"</formula>
      <formula>"SAFRA"</formula>
    </cfRule>
    <cfRule type="cellIs" dxfId="1717" priority="1356" operator="between">
      <formula>"SAFRA"</formula>
      <formula>"SAFRA"</formula>
    </cfRule>
    <cfRule type="cellIs" dxfId="1716" priority="1355" operator="equal">
      <formula>"ITAÚ MATRIZ"</formula>
    </cfRule>
    <cfRule type="cellIs" dxfId="1715" priority="1354" operator="equal">
      <formula>"ITAÚ"</formula>
    </cfRule>
    <cfRule type="cellIs" dxfId="1714" priority="1353" operator="equal">
      <formula>"ITAÚ"</formula>
    </cfRule>
    <cfRule type="cellIs" dxfId="1713" priority="1352" operator="between">
      <formula>"ITAÚ MATRIZ"</formula>
      <formula>"ITAÚ MATRIZ"</formula>
    </cfRule>
    <cfRule type="cellIs" dxfId="1712" priority="1351" operator="between">
      <formula>"ITAÚ FILIAL"</formula>
      <formula>"ITAÚ FILIAL"</formula>
    </cfRule>
    <cfRule type="cellIs" dxfId="1711" priority="1350" operator="between">
      <formula>"ITAÚ FILIAL"</formula>
      <formula>"ITAÚ FILIAL"</formula>
    </cfRule>
    <cfRule type="cellIs" dxfId="1710" priority="1349" operator="between">
      <formula>"DAYCOVAL"</formula>
      <formula>"DAYCOVAL"</formula>
    </cfRule>
    <cfRule type="cellIs" dxfId="1709" priority="1348" operator="between">
      <formula>"SAFRA"</formula>
      <formula>"SAFRA"</formula>
    </cfRule>
    <cfRule type="cellIs" dxfId="1708" priority="1347" operator="between">
      <formula>"SAFRA"</formula>
      <formula>"SAFRA"</formula>
    </cfRule>
    <cfRule type="cellIs" dxfId="1707" priority="1346" operator="equal">
      <formula>"ITAÚ MATRIZ"</formula>
    </cfRule>
    <cfRule type="cellIs" dxfId="1706" priority="1345" operator="equal">
      <formula>"ITAÚ"</formula>
    </cfRule>
    <cfRule type="cellIs" dxfId="1705" priority="1344" operator="equal">
      <formula>"ITAÚ"</formula>
    </cfRule>
    <cfRule type="cellIs" dxfId="1704" priority="1343" operator="between">
      <formula>"ITAÚ MATRIZ"</formula>
      <formula>"ITAÚ MATRIZ"</formula>
    </cfRule>
    <cfRule type="cellIs" dxfId="1703" priority="1342" operator="between">
      <formula>"ITAÚ FILIAL"</formula>
      <formula>"ITAÚ FILIAL"</formula>
    </cfRule>
    <cfRule type="cellIs" dxfId="1702" priority="1341" operator="between">
      <formula>"ITAÚ FILIAL"</formula>
      <formula>"ITAÚ FILIAL"</formula>
    </cfRule>
    <cfRule type="cellIs" dxfId="1701" priority="1340" operator="between">
      <formula>"DAYCOVAL"</formula>
      <formula>"DAYCOVAL"</formula>
    </cfRule>
    <cfRule type="cellIs" dxfId="1700" priority="1339" operator="between">
      <formula>"SAFRA"</formula>
      <formula>"SAFRA"</formula>
    </cfRule>
    <cfRule type="cellIs" dxfId="1699" priority="1338" operator="between">
      <formula>"SAFRA"</formula>
      <formula>"SAFRA"</formula>
    </cfRule>
    <cfRule type="cellIs" dxfId="1698" priority="1337" operator="equal">
      <formula>"ITAÚ MATRIZ"</formula>
    </cfRule>
    <cfRule type="cellIs" dxfId="1697" priority="1336" operator="equal">
      <formula>"ITAÚ"</formula>
    </cfRule>
    <cfRule type="cellIs" dxfId="1696" priority="1335" operator="between">
      <formula>"ITAÚ MATRIZ"</formula>
      <formula>"ITAÚ MATRIZ"</formula>
    </cfRule>
    <cfRule type="cellIs" dxfId="1695" priority="1334" operator="equal">
      <formula>"ITAÚ MATRIZ"</formula>
    </cfRule>
    <cfRule type="cellIs" dxfId="1694" priority="1461" operator="between">
      <formula>"ITAÚ FILIAL"</formula>
      <formula>"ITAÚ FILIAL"</formula>
    </cfRule>
    <cfRule type="cellIs" dxfId="1693" priority="1332" operator="between">
      <formula>"ITAÚ FILIAL"</formula>
      <formula>"ITAÚ FILIAL"</formula>
    </cfRule>
    <cfRule type="cellIs" dxfId="1692" priority="1331" operator="between">
      <formula>"ITAÚ FILIAL"</formula>
      <formula>"ITAÚ FILIAL"</formula>
    </cfRule>
    <cfRule type="cellIs" dxfId="1691" priority="1330" operator="between">
      <formula>"DAYCOVAL"</formula>
      <formula>"DAYCOVAL"</formula>
    </cfRule>
    <cfRule type="cellIs" dxfId="1690" priority="1329" operator="between">
      <formula>"SAFRA"</formula>
      <formula>"SAFRA"</formula>
    </cfRule>
    <cfRule type="cellIs" dxfId="1689" priority="1328" operator="between">
      <formula>"SAFRA"</formula>
      <formula>"SAFRA"</formula>
    </cfRule>
    <cfRule type="cellIs" dxfId="1688" priority="1462" operator="between">
      <formula>"ITAÚ FILIAL"</formula>
      <formula>"ITAÚ FILIAL"</formula>
    </cfRule>
    <cfRule type="cellIs" dxfId="1687" priority="1468" operator="between">
      <formula>"SAFRA"</formula>
      <formula>"SAFRA"</formula>
    </cfRule>
    <cfRule type="cellIs" dxfId="1686" priority="1467" operator="between">
      <formula>"SAFRA"</formula>
      <formula>"SAFRA"</formula>
    </cfRule>
    <cfRule type="cellIs" dxfId="1685" priority="1472" operator="between">
      <formula>"ITAÚ MATRIZ"</formula>
      <formula>"ITAÚ MATRIZ"</formula>
    </cfRule>
    <cfRule type="cellIs" dxfId="1684" priority="1327" operator="equal">
      <formula>"ITAÚ"</formula>
    </cfRule>
    <cfRule type="cellIs" dxfId="1683" priority="1326" operator="equal">
      <formula>"ITAÚ"</formula>
    </cfRule>
    <cfRule type="cellIs" dxfId="1682" priority="1325" operator="between">
      <formula>"ITAÚ MATRIZ"</formula>
      <formula>"ITAÚ MATRIZ"</formula>
    </cfRule>
    <cfRule type="cellIs" dxfId="1681" priority="1586" operator="between">
      <formula>"DAYCOVAL"</formula>
      <formula>"DAYCOVAL"</formula>
    </cfRule>
    <cfRule type="cellIs" dxfId="1680" priority="1587" operator="between">
      <formula>"ITAÚ FILIAL"</formula>
      <formula>"ITAÚ FILIAL"</formula>
    </cfRule>
    <cfRule type="cellIs" dxfId="1679" priority="1471" operator="between">
      <formula>"ITAÚ FILIAL"</formula>
      <formula>"ITAÚ FILIAL"</formula>
    </cfRule>
    <cfRule type="cellIs" dxfId="1678" priority="1470" operator="between">
      <formula>"ITAÚ FILIAL"</formula>
      <formula>"ITAÚ FILIAL"</formula>
    </cfRule>
    <cfRule type="cellIs" dxfId="1677" priority="1324" operator="between">
      <formula>"ITAÚ FILIAL"</formula>
      <formula>"ITAÚ FILIAL"</formula>
    </cfRule>
    <cfRule type="cellIs" dxfId="1676" priority="1323" operator="between">
      <formula>"ITAÚ FILIAL"</formula>
      <formula>"ITAÚ FILIAL"</formula>
    </cfRule>
    <cfRule type="cellIs" dxfId="1675" priority="1322" operator="between">
      <formula>"DAYCOVAL"</formula>
      <formula>"DAYCOVAL"</formula>
    </cfRule>
    <cfRule type="cellIs" dxfId="1674" priority="1321" operator="between">
      <formula>"SAFRA"</formula>
      <formula>"SAFRA"</formula>
    </cfRule>
    <cfRule type="cellIs" dxfId="1673" priority="1320" operator="between">
      <formula>"SAFRA"</formula>
      <formula>"SAFRA"</formula>
    </cfRule>
    <cfRule type="cellIs" dxfId="1672" priority="1319" operator="equal">
      <formula>"ITAÚ MATRIZ"</formula>
    </cfRule>
    <cfRule type="cellIs" dxfId="1671" priority="1318" operator="equal">
      <formula>"ITAÚ"</formula>
    </cfRule>
    <cfRule type="cellIs" dxfId="1670" priority="1317" operator="between">
      <formula>"ITAÚ MATRIZ"</formula>
      <formula>"ITAÚ MATRIZ"</formula>
    </cfRule>
    <cfRule type="cellIs" dxfId="1669" priority="1316" operator="equal">
      <formula>"ITAÚ MATRIZ"</formula>
    </cfRule>
    <cfRule type="cellIs" dxfId="1668" priority="1315" operator="equal">
      <formula>"ITAÚ"</formula>
    </cfRule>
    <cfRule type="cellIs" dxfId="1667" priority="1314" operator="between">
      <formula>"ITAÚ FILIAL"</formula>
      <formula>"ITAÚ FILIAL"</formula>
    </cfRule>
    <cfRule type="cellIs" dxfId="1666" priority="1313" operator="between">
      <formula>"ITAÚ FILIAL"</formula>
      <formula>"ITAÚ FILIAL"</formula>
    </cfRule>
    <cfRule type="cellIs" dxfId="1665" priority="1312" operator="between">
      <formula>"DAYCOVAL"</formula>
      <formula>"DAYCOVAL"</formula>
    </cfRule>
    <cfRule type="cellIs" dxfId="1664" priority="1311" operator="between">
      <formula>"SAFRA"</formula>
      <formula>"SAFRA"</formula>
    </cfRule>
    <cfRule type="cellIs" dxfId="1663" priority="1310" operator="between">
      <formula>"SAFRA"</formula>
      <formula>"SAFRA"</formula>
    </cfRule>
    <cfRule type="cellIs" dxfId="1662" priority="1309" operator="equal">
      <formula>"ITAÚ"</formula>
    </cfRule>
    <cfRule type="cellIs" dxfId="1661" priority="1308" operator="equal">
      <formula>"ITAÚ"</formula>
    </cfRule>
    <cfRule type="cellIs" dxfId="1660" priority="1307" operator="between">
      <formula>"ITAÚ MATRIZ"</formula>
      <formula>"ITAÚ MATRIZ"</formula>
    </cfRule>
    <cfRule type="cellIs" dxfId="1659" priority="1306" operator="between">
      <formula>"ITAÚ FILIAL"</formula>
      <formula>"ITAÚ FILIAL"</formula>
    </cfRule>
    <cfRule type="cellIs" dxfId="1658" priority="1305" operator="between">
      <formula>"ITAÚ FILIAL"</formula>
      <formula>"ITAÚ FILIAL"</formula>
    </cfRule>
    <cfRule type="cellIs" dxfId="1657" priority="1304" operator="between">
      <formula>"DAYCOVAL"</formula>
      <formula>"DAYCOVAL"</formula>
    </cfRule>
    <cfRule type="cellIs" dxfId="1656" priority="1303" operator="between">
      <formula>"SAFRA"</formula>
      <formula>"SAFRA"</formula>
    </cfRule>
    <cfRule type="cellIs" dxfId="1655" priority="1302" operator="between">
      <formula>"SAFRA"</formula>
      <formula>"SAFRA"</formula>
    </cfRule>
    <cfRule type="cellIs" dxfId="1654" priority="1301" operator="equal">
      <formula>"ITAÚ MATRIZ"</formula>
    </cfRule>
    <cfRule type="cellIs" dxfId="1653" priority="1300" operator="equal">
      <formula>"ITAÚ"</formula>
    </cfRule>
    <cfRule type="cellIs" dxfId="1652" priority="1299" operator="equal">
      <formula>"ITAÚ"</formula>
    </cfRule>
    <cfRule type="cellIs" dxfId="1651" priority="1298" operator="between">
      <formula>"ITAÚ MATRIZ"</formula>
      <formula>"ITAÚ MATRIZ"</formula>
    </cfRule>
    <cfRule type="cellIs" dxfId="1650" priority="1297" operator="between">
      <formula>"ITAÚ FILIAL"</formula>
      <formula>"ITAÚ FILIAL"</formula>
    </cfRule>
    <cfRule type="cellIs" dxfId="1649" priority="1296" operator="between">
      <formula>"ITAÚ FILIAL"</formula>
      <formula>"ITAÚ FILIAL"</formula>
    </cfRule>
    <cfRule type="cellIs" dxfId="1648" priority="1295" operator="between">
      <formula>"DAYCOVAL"</formula>
      <formula>"DAYCOVAL"</formula>
    </cfRule>
    <cfRule type="cellIs" dxfId="1647" priority="1294" operator="between">
      <formula>"SAFRA"</formula>
      <formula>"SAFRA"</formula>
    </cfRule>
    <cfRule type="cellIs" dxfId="1646" priority="1293" operator="between">
      <formula>"SAFRA"</formula>
      <formula>"SAFRA"</formula>
    </cfRule>
    <cfRule type="cellIs" dxfId="1645" priority="1292" operator="equal">
      <formula>"ITAÚ MATRIZ"</formula>
    </cfRule>
    <cfRule type="cellIs" dxfId="1644" priority="1291" operator="equal">
      <formula>"ITAÚ"</formula>
    </cfRule>
    <cfRule type="cellIs" dxfId="1643" priority="1290" operator="equal">
      <formula>"ITAÚ"</formula>
    </cfRule>
    <cfRule type="cellIs" dxfId="1642" priority="1289" operator="between">
      <formula>"ITAÚ MATRIZ"</formula>
      <formula>"ITAÚ MATRIZ"</formula>
    </cfRule>
    <cfRule type="cellIs" dxfId="1641" priority="1288" operator="between">
      <formula>"ITAÚ FILIAL"</formula>
      <formula>"ITAÚ FILIAL"</formula>
    </cfRule>
    <cfRule type="cellIs" dxfId="1640" priority="1287" operator="between">
      <formula>"ITAÚ FILIAL"</formula>
      <formula>"ITAÚ FILIAL"</formula>
    </cfRule>
    <cfRule type="cellIs" dxfId="1639" priority="1286" operator="between">
      <formula>"DAYCOVAL"</formula>
      <formula>"DAYCOVAL"</formula>
    </cfRule>
    <cfRule type="cellIs" dxfId="1638" priority="1285" operator="between">
      <formula>"SAFRA"</formula>
      <formula>"SAFRA"</formula>
    </cfRule>
    <cfRule type="cellIs" dxfId="1637" priority="1284" operator="between">
      <formula>"SAFRA"</formula>
      <formula>"SAFRA"</formula>
    </cfRule>
    <cfRule type="cellIs" dxfId="1636" priority="1283" operator="equal">
      <formula>"ITAÚ MATRIZ"</formula>
    </cfRule>
    <cfRule type="cellIs" dxfId="1635" priority="1282" operator="equal">
      <formula>"ITAÚ"</formula>
    </cfRule>
    <cfRule type="cellIs" dxfId="1634" priority="1281" operator="equal">
      <formula>"ITAÚ"</formula>
    </cfRule>
    <cfRule type="cellIs" dxfId="1633" priority="1280" operator="between">
      <formula>"ITAÚ MATRIZ"</formula>
      <formula>"ITAÚ MATRIZ"</formula>
    </cfRule>
    <cfRule type="cellIs" dxfId="1632" priority="1279" operator="between">
      <formula>"ITAÚ FILIAL"</formula>
      <formula>"ITAÚ FILIAL"</formula>
    </cfRule>
    <cfRule type="cellIs" dxfId="1631" priority="1278" operator="between">
      <formula>"ITAÚ FILIAL"</formula>
      <formula>"ITAÚ FILIAL"</formula>
    </cfRule>
    <cfRule type="cellIs" dxfId="1630" priority="1277" operator="between">
      <formula>"DAYCOVAL"</formula>
      <formula>"DAYCOVAL"</formula>
    </cfRule>
    <cfRule type="cellIs" dxfId="1629" priority="1276" operator="between">
      <formula>"SAFRA"</formula>
      <formula>"SAFRA"</formula>
    </cfRule>
    <cfRule type="cellIs" dxfId="1628" priority="1275" operator="between">
      <formula>"SAFRA"</formula>
      <formula>"SAFRA"</formula>
    </cfRule>
    <cfRule type="cellIs" dxfId="1627" priority="1274" operator="equal">
      <formula>"ITAÚ MATRIZ"</formula>
    </cfRule>
    <cfRule type="cellIs" dxfId="1626" priority="1273" operator="equal">
      <formula>"ITAÚ"</formula>
    </cfRule>
    <cfRule type="cellIs" dxfId="1625" priority="1272" operator="equal">
      <formula>"ITAÚ"</formula>
    </cfRule>
    <cfRule type="cellIs" dxfId="1624" priority="1271" operator="between">
      <formula>"ITAÚ MATRIZ"</formula>
      <formula>"ITAÚ MATRIZ"</formula>
    </cfRule>
    <cfRule type="cellIs" dxfId="1623" priority="1270" operator="between">
      <formula>"ITAÚ FILIAL"</formula>
      <formula>"ITAÚ FILIAL"</formula>
    </cfRule>
    <cfRule type="cellIs" dxfId="1622" priority="1269" operator="between">
      <formula>"ITAÚ FILIAL"</formula>
      <formula>"ITAÚ FILIAL"</formula>
    </cfRule>
    <cfRule type="cellIs" dxfId="1621" priority="1268" operator="between">
      <formula>"DAYCOVAL"</formula>
      <formula>"DAYCOVAL"</formula>
    </cfRule>
    <cfRule type="cellIs" dxfId="1620" priority="1267" operator="between">
      <formula>"SAFRA"</formula>
      <formula>"SAFRA"</formula>
    </cfRule>
    <cfRule type="cellIs" dxfId="1619" priority="1266" operator="between">
      <formula>"SAFRA"</formula>
      <formula>"SAFRA"</formula>
    </cfRule>
    <cfRule type="cellIs" dxfId="1618" priority="1265" operator="equal">
      <formula>"ITAÚ MATRIZ"</formula>
    </cfRule>
    <cfRule type="cellIs" dxfId="1617" priority="1264" operator="equal">
      <formula>"ITAÚ"</formula>
    </cfRule>
    <cfRule type="cellIs" dxfId="1616" priority="1263" operator="between">
      <formula>"ITAÚ MATRIZ"</formula>
      <formula>"ITAÚ MATRIZ"</formula>
    </cfRule>
    <cfRule type="cellIs" dxfId="1615" priority="1262" operator="equal">
      <formula>"ITAÚ MATRIZ"</formula>
    </cfRule>
    <cfRule type="cellIs" dxfId="1614" priority="1261" operator="equal">
      <formula>"ITAÚ"</formula>
    </cfRule>
    <cfRule type="cellIs" dxfId="1613" priority="1260" operator="between">
      <formula>"ITAÚ FILIAL"</formula>
      <formula>"ITAÚ FILIAL"</formula>
    </cfRule>
    <cfRule type="cellIs" dxfId="1612" priority="1259" operator="between">
      <formula>"ITAÚ FILIAL"</formula>
      <formula>"ITAÚ FILIAL"</formula>
    </cfRule>
    <cfRule type="cellIs" dxfId="1611" priority="1258" operator="between">
      <formula>"DAYCOVAL"</formula>
      <formula>"DAYCOVAL"</formula>
    </cfRule>
    <cfRule type="cellIs" dxfId="1610" priority="1257" operator="between">
      <formula>"SAFRA"</formula>
      <formula>"SAFRA"</formula>
    </cfRule>
    <cfRule type="cellIs" dxfId="1609" priority="1256" operator="between">
      <formula>"SAFRA"</formula>
      <formula>"SAFRA"</formula>
    </cfRule>
    <cfRule type="cellIs" dxfId="1608" priority="1255" operator="equal">
      <formula>"ITAÚ"</formula>
    </cfRule>
    <cfRule type="cellIs" dxfId="1607" priority="1254" operator="equal">
      <formula>"ITAÚ"</formula>
    </cfRule>
    <cfRule type="cellIs" dxfId="1606" priority="1253" operator="between">
      <formula>"ITAÚ MATRIZ"</formula>
      <formula>"ITAÚ MATRIZ"</formula>
    </cfRule>
    <cfRule type="cellIs" dxfId="1605" priority="1252" operator="between">
      <formula>"ITAÚ FILIAL"</formula>
      <formula>"ITAÚ FILIAL"</formula>
    </cfRule>
    <cfRule type="cellIs" dxfId="1604" priority="1464" operator="equal">
      <formula>"ITAÚ"</formula>
    </cfRule>
    <cfRule type="cellIs" dxfId="1603" priority="1465" operator="equal">
      <formula>"ITAÚ"</formula>
    </cfRule>
    <cfRule type="cellIs" dxfId="1602" priority="1475" operator="between">
      <formula>"SAFRA"</formula>
      <formula>"SAFRA"</formula>
    </cfRule>
    <cfRule type="cellIs" dxfId="1601" priority="1251" operator="between">
      <formula>"ITAÚ FILIAL"</formula>
      <formula>"ITAÚ FILIAL"</formula>
    </cfRule>
    <cfRule type="cellIs" dxfId="1600" priority="1250" operator="between">
      <formula>"DAYCOVAL"</formula>
      <formula>"DAYCOVAL"</formula>
    </cfRule>
    <cfRule type="cellIs" dxfId="1599" priority="1249" operator="between">
      <formula>"SAFRA"</formula>
      <formula>"SAFRA"</formula>
    </cfRule>
    <cfRule type="cellIs" dxfId="1598" priority="1248" operator="between">
      <formula>"SAFRA"</formula>
      <formula>"SAFRA"</formula>
    </cfRule>
    <cfRule type="cellIs" dxfId="1597" priority="1247" operator="equal">
      <formula>"ITAÚ MATRIZ"</formula>
    </cfRule>
    <cfRule type="cellIs" dxfId="1596" priority="1246" operator="equal">
      <formula>"ITAÚ"</formula>
    </cfRule>
    <cfRule type="cellIs" dxfId="1595" priority="1245" operator="equal">
      <formula>"ITAÚ"</formula>
    </cfRule>
    <cfRule type="cellIs" dxfId="1594" priority="1244" operator="between">
      <formula>"ITAÚ MATRIZ"</formula>
      <formula>"ITAÚ MATRIZ"</formula>
    </cfRule>
    <cfRule type="cellIs" dxfId="1593" priority="1243" operator="between">
      <formula>"ITAÚ FILIAL"</formula>
      <formula>"ITAÚ FILIAL"</formula>
    </cfRule>
    <cfRule type="cellIs" dxfId="1592" priority="1242" operator="between">
      <formula>"ITAÚ FILIAL"</formula>
      <formula>"ITAÚ FILIAL"</formula>
    </cfRule>
    <cfRule type="cellIs" dxfId="1591" priority="1241" operator="between">
      <formula>"DAYCOVAL"</formula>
      <formula>"DAYCOVAL"</formula>
    </cfRule>
    <cfRule type="cellIs" dxfId="1590" priority="1240" operator="between">
      <formula>"SAFRA"</formula>
      <formula>"SAFRA"</formula>
    </cfRule>
    <cfRule type="cellIs" dxfId="1589" priority="1239" operator="between">
      <formula>"SAFRA"</formula>
      <formula>"SAFRA"</formula>
    </cfRule>
    <cfRule type="cellIs" dxfId="1588" priority="1238" operator="equal">
      <formula>"ITAÚ MATRIZ"</formula>
    </cfRule>
    <cfRule type="cellIs" dxfId="1587" priority="1457" operator="equal">
      <formula>"ITAÚ MATRIZ"</formula>
    </cfRule>
    <cfRule type="cellIs" dxfId="1586" priority="1435" operator="equal">
      <formula>"ITAÚ"</formula>
    </cfRule>
    <cfRule type="cellIs" dxfId="1585" priority="1434" operator="between">
      <formula>"ITAÚ MATRIZ"</formula>
      <formula>"ITAÚ MATRIZ"</formula>
    </cfRule>
    <cfRule type="cellIs" dxfId="1584" priority="1433" operator="equal">
      <formula>"ITAÚ MATRIZ"</formula>
    </cfRule>
    <cfRule type="cellIs" dxfId="1583" priority="1432" operator="equal">
      <formula>"ITAÚ"</formula>
    </cfRule>
    <cfRule type="cellIs" dxfId="1582" priority="1431" operator="between">
      <formula>"ITAÚ FILIAL"</formula>
      <formula>"ITAÚ FILIAL"</formula>
    </cfRule>
    <cfRule type="cellIs" dxfId="1581" priority="1430" operator="between">
      <formula>"ITAÚ FILIAL"</formula>
      <formula>"ITAÚ FILIAL"</formula>
    </cfRule>
    <cfRule type="cellIs" dxfId="1580" priority="1429" operator="between">
      <formula>"DAYCOVAL"</formula>
      <formula>"DAYCOVAL"</formula>
    </cfRule>
    <cfRule type="cellIs" dxfId="1579" priority="1428" operator="between">
      <formula>"SAFRA"</formula>
      <formula>"SAFRA"</formula>
    </cfRule>
    <cfRule type="cellIs" dxfId="1578" priority="1427" operator="between">
      <formula>"SAFRA"</formula>
      <formula>"SAFRA"</formula>
    </cfRule>
    <cfRule type="cellIs" dxfId="1577" priority="1426" operator="equal">
      <formula>"ITAÚ"</formula>
    </cfRule>
    <cfRule type="cellIs" dxfId="1576" priority="1425" operator="between">
      <formula>"ITAÚ MATRIZ"</formula>
      <formula>"ITAÚ MATRIZ"</formula>
    </cfRule>
    <cfRule type="cellIs" dxfId="1575" priority="1424" operator="equal">
      <formula>"ITAÚ MATRIZ"</formula>
    </cfRule>
    <cfRule type="cellIs" dxfId="1574" priority="1423" operator="equal">
      <formula>"ITAÚ"</formula>
    </cfRule>
    <cfRule type="cellIs" dxfId="1573" priority="1422" operator="between">
      <formula>"ITAÚ FILIAL"</formula>
      <formula>"ITAÚ FILIAL"</formula>
    </cfRule>
    <cfRule type="cellIs" dxfId="1572" priority="1476" operator="between">
      <formula>"SAFRA"</formula>
      <formula>"SAFRA"</formula>
    </cfRule>
    <cfRule type="cellIs" dxfId="1571" priority="1469" operator="between">
      <formula>"DAYCOVAL"</formula>
      <formula>"DAYCOVAL"</formula>
    </cfRule>
    <cfRule type="cellIs" dxfId="1570" priority="1420" operator="between">
      <formula>"DAYCOVAL"</formula>
      <formula>"DAYCOVAL"</formula>
    </cfRule>
    <cfRule type="cellIs" dxfId="1569" priority="1421" operator="between">
      <formula>"ITAÚ FILIAL"</formula>
      <formula>"ITAÚ FILIAL"</formula>
    </cfRule>
    <cfRule type="cellIs" dxfId="1568" priority="1473" operator="equal">
      <formula>"ITAÚ"</formula>
    </cfRule>
    <cfRule type="cellIs" dxfId="1567" priority="1654" operator="equal">
      <formula>"ITAÚ"</formula>
    </cfRule>
    <cfRule type="cellIs" dxfId="1566" priority="1653" operator="between">
      <formula>"ITAÚ MATRIZ"</formula>
      <formula>"ITAÚ MATRIZ"</formula>
    </cfRule>
    <cfRule type="cellIs" dxfId="1565" priority="1652" operator="equal">
      <formula>"ITAÚ MATRIZ"</formula>
    </cfRule>
    <cfRule type="cellIs" dxfId="1564" priority="1651" operator="equal">
      <formula>"ITAÚ"</formula>
    </cfRule>
    <cfRule type="cellIs" dxfId="1563" priority="1650" operator="between">
      <formula>"ITAÚ FILIAL"</formula>
      <formula>"ITAÚ FILIAL"</formula>
    </cfRule>
    <cfRule type="cellIs" dxfId="1562" priority="1649" operator="between">
      <formula>"ITAÚ FILIAL"</formula>
      <formula>"ITAÚ FILIAL"</formula>
    </cfRule>
    <cfRule type="cellIs" dxfId="1561" priority="1648" operator="between">
      <formula>"DAYCOVAL"</formula>
      <formula>"DAYCOVAL"</formula>
    </cfRule>
    <cfRule type="cellIs" dxfId="1560" priority="1647" operator="between">
      <formula>"SAFRA"</formula>
      <formula>"SAFRA"</formula>
    </cfRule>
    <cfRule type="cellIs" dxfId="1559" priority="1646" operator="between">
      <formula>"SAFRA"</formula>
      <formula>"SAFRA"</formula>
    </cfRule>
    <cfRule type="cellIs" dxfId="1558" priority="1645" operator="equal">
      <formula>"ITAÚ"</formula>
    </cfRule>
    <cfRule type="cellIs" dxfId="1557" priority="1644" operator="between">
      <formula>"ITAÚ MATRIZ"</formula>
      <formula>"ITAÚ MATRIZ"</formula>
    </cfRule>
    <cfRule type="cellIs" dxfId="1556" priority="1643" operator="equal">
      <formula>"ITAÚ MATRIZ"</formula>
    </cfRule>
    <cfRule type="cellIs" dxfId="1555" priority="1642" operator="equal">
      <formula>"ITAÚ"</formula>
    </cfRule>
    <cfRule type="cellIs" dxfId="1554" priority="1641" operator="between">
      <formula>"ITAÚ FILIAL"</formula>
      <formula>"ITAÚ FILIAL"</formula>
    </cfRule>
    <cfRule type="cellIs" dxfId="1553" priority="1640" operator="between">
      <formula>"ITAÚ FILIAL"</formula>
      <formula>"ITAÚ FILIAL"</formula>
    </cfRule>
    <cfRule type="cellIs" dxfId="1552" priority="1639" operator="between">
      <formula>"DAYCOVAL"</formula>
      <formula>"DAYCOVAL"</formula>
    </cfRule>
    <cfRule type="cellIs" dxfId="1551" priority="1638" operator="between">
      <formula>"SAFRA"</formula>
      <formula>"SAFRA"</formula>
    </cfRule>
    <cfRule type="cellIs" dxfId="1550" priority="1637" operator="between">
      <formula>"SAFRA"</formula>
      <formula>"SAFRA"</formula>
    </cfRule>
    <cfRule type="cellIs" dxfId="1549" priority="1636" operator="equal">
      <formula>"ITAÚ"</formula>
    </cfRule>
    <cfRule type="cellIs" dxfId="1548" priority="1635" operator="equal">
      <formula>"ITAÚ"</formula>
    </cfRule>
    <cfRule type="cellIs" dxfId="1547" priority="1634" operator="between">
      <formula>"ITAÚ MATRIZ"</formula>
      <formula>"ITAÚ MATRIZ"</formula>
    </cfRule>
    <cfRule type="cellIs" dxfId="1546" priority="1633" operator="between">
      <formula>"ITAÚ FILIAL"</formula>
      <formula>"ITAÚ FILIAL"</formula>
    </cfRule>
    <cfRule type="cellIs" dxfId="1545" priority="1632" operator="between">
      <formula>"ITAÚ FILIAL"</formula>
      <formula>"ITAÚ FILIAL"</formula>
    </cfRule>
    <cfRule type="cellIs" dxfId="1544" priority="1631" operator="between">
      <formula>"DAYCOVAL"</formula>
      <formula>"DAYCOVAL"</formula>
    </cfRule>
    <cfRule type="cellIs" dxfId="1543" priority="1630" operator="between">
      <formula>"SAFRA"</formula>
      <formula>"SAFRA"</formula>
    </cfRule>
    <cfRule type="cellIs" dxfId="1542" priority="1629" operator="between">
      <formula>"SAFRA"</formula>
      <formula>"SAFRA"</formula>
    </cfRule>
    <cfRule type="cellIs" dxfId="1541" priority="1628" operator="equal">
      <formula>"ITAÚ MATRIZ"</formula>
    </cfRule>
    <cfRule type="cellIs" dxfId="1540" priority="1627" operator="equal">
      <formula>"ITAÚ"</formula>
    </cfRule>
    <cfRule type="cellIs" dxfId="1539" priority="1626" operator="between">
      <formula>"ITAÚ MATRIZ"</formula>
      <formula>"ITAÚ MATRIZ"</formula>
    </cfRule>
    <cfRule type="cellIs" dxfId="1538" priority="1625" operator="equal">
      <formula>"ITAÚ MATRIZ"</formula>
    </cfRule>
    <cfRule type="cellIs" dxfId="1537" priority="1624" operator="equal">
      <formula>"ITAÚ"</formula>
    </cfRule>
    <cfRule type="cellIs" dxfId="1536" priority="1623" operator="between">
      <formula>"ITAÚ FILIAL"</formula>
      <formula>"ITAÚ FILIAL"</formula>
    </cfRule>
    <cfRule type="cellIs" dxfId="1535" priority="1622" operator="between">
      <formula>"ITAÚ FILIAL"</formula>
      <formula>"ITAÚ FILIAL"</formula>
    </cfRule>
    <cfRule type="cellIs" dxfId="1534" priority="1621" operator="between">
      <formula>"DAYCOVAL"</formula>
      <formula>"DAYCOVAL"</formula>
    </cfRule>
    <cfRule type="cellIs" dxfId="1533" priority="1620" operator="between">
      <formula>"SAFRA"</formula>
      <formula>"SAFRA"</formula>
    </cfRule>
    <cfRule type="cellIs" dxfId="1532" priority="1619" operator="between">
      <formula>"SAFRA"</formula>
      <formula>"SAFRA"</formula>
    </cfRule>
    <cfRule type="cellIs" dxfId="1531" priority="1618" operator="equal">
      <formula>"ITAÚ"</formula>
    </cfRule>
    <cfRule type="cellIs" dxfId="1530" priority="1617" operator="equal">
      <formula>"ITAÚ"</formula>
    </cfRule>
    <cfRule type="cellIs" dxfId="1529" priority="1616" operator="between">
      <formula>"ITAÚ MATRIZ"</formula>
      <formula>"ITAÚ MATRIZ"</formula>
    </cfRule>
    <cfRule type="cellIs" dxfId="1528" priority="1615" operator="between">
      <formula>"ITAÚ FILIAL"</formula>
      <formula>"ITAÚ FILIAL"</formula>
    </cfRule>
    <cfRule type="cellIs" dxfId="1527" priority="1614" operator="between">
      <formula>"ITAÚ FILIAL"</formula>
      <formula>"ITAÚ FILIAL"</formula>
    </cfRule>
    <cfRule type="cellIs" dxfId="1526" priority="1613" operator="between">
      <formula>"DAYCOVAL"</formula>
      <formula>"DAYCOVAL"</formula>
    </cfRule>
    <cfRule type="cellIs" dxfId="1525" priority="1612" operator="between">
      <formula>"SAFRA"</formula>
      <formula>"SAFRA"</formula>
    </cfRule>
    <cfRule type="cellIs" dxfId="1524" priority="1611" operator="between">
      <formula>"SAFRA"</formula>
      <formula>"SAFRA"</formula>
    </cfRule>
    <cfRule type="cellIs" dxfId="1523" priority="1610" operator="equal">
      <formula>"ITAÚ MATRIZ"</formula>
    </cfRule>
    <cfRule type="cellIs" dxfId="1522" priority="1609" operator="equal">
      <formula>"ITAÚ"</formula>
    </cfRule>
    <cfRule type="cellIs" dxfId="1521" priority="1608" operator="between">
      <formula>"ITAÚ MATRIZ"</formula>
      <formula>"ITAÚ MATRIZ"</formula>
    </cfRule>
    <cfRule type="cellIs" dxfId="1520" priority="1607" operator="equal">
      <formula>"ITAÚ MATRIZ"</formula>
    </cfRule>
    <cfRule type="cellIs" dxfId="1519" priority="1606" operator="equal">
      <formula>"ITAÚ"</formula>
    </cfRule>
    <cfRule type="cellIs" dxfId="1518" priority="1605" operator="between">
      <formula>"ITAÚ FILIAL"</formula>
      <formula>"ITAÚ FILIAL"</formula>
    </cfRule>
    <cfRule type="cellIs" dxfId="1517" priority="1604" operator="between">
      <formula>"ITAÚ FILIAL"</formula>
      <formula>"ITAÚ FILIAL"</formula>
    </cfRule>
    <cfRule type="cellIs" dxfId="1516" priority="1603" operator="between">
      <formula>"DAYCOVAL"</formula>
      <formula>"DAYCOVAL"</formula>
    </cfRule>
    <cfRule type="cellIs" dxfId="1515" priority="1602" operator="between">
      <formula>"SAFRA"</formula>
      <formula>"SAFRA"</formula>
    </cfRule>
    <cfRule type="cellIs" dxfId="1514" priority="1601" operator="between">
      <formula>"SAFRA"</formula>
      <formula>"SAFRA"</formula>
    </cfRule>
    <cfRule type="cellIs" dxfId="1513" priority="1600" operator="equal">
      <formula>"ITAÚ"</formula>
    </cfRule>
    <cfRule type="cellIs" dxfId="1512" priority="1599" operator="equal">
      <formula>"ITAÚ"</formula>
    </cfRule>
    <cfRule type="cellIs" dxfId="1511" priority="1598" operator="between">
      <formula>"ITAÚ MATRIZ"</formula>
      <formula>"ITAÚ MATRIZ"</formula>
    </cfRule>
    <cfRule type="cellIs" dxfId="1510" priority="1597" operator="between">
      <formula>"ITAÚ FILIAL"</formula>
      <formula>"ITAÚ FILIAL"</formula>
    </cfRule>
    <cfRule type="cellIs" dxfId="1509" priority="1596" operator="between">
      <formula>"ITAÚ FILIAL"</formula>
      <formula>"ITAÚ FILIAL"</formula>
    </cfRule>
    <cfRule type="cellIs" dxfId="1508" priority="1595" operator="between">
      <formula>"DAYCOVAL"</formula>
      <formula>"DAYCOVAL"</formula>
    </cfRule>
    <cfRule type="cellIs" dxfId="1507" priority="1594" operator="between">
      <formula>"SAFRA"</formula>
      <formula>"SAFRA"</formula>
    </cfRule>
    <cfRule type="cellIs" dxfId="1506" priority="1593" operator="between">
      <formula>"SAFRA"</formula>
      <formula>"SAFRA"</formula>
    </cfRule>
    <cfRule type="cellIs" dxfId="1505" priority="1592" operator="equal">
      <formula>"ITAÚ MATRIZ"</formula>
    </cfRule>
    <cfRule type="cellIs" dxfId="1504" priority="1591" operator="equal">
      <formula>"ITAÚ"</formula>
    </cfRule>
    <cfRule type="cellIs" dxfId="1503" priority="1590" operator="equal">
      <formula>"ITAÚ"</formula>
    </cfRule>
    <cfRule type="cellIs" dxfId="1502" priority="1589" operator="between">
      <formula>"ITAÚ MATRIZ"</formula>
      <formula>"ITAÚ MATRIZ"</formula>
    </cfRule>
    <cfRule type="cellIs" dxfId="1501" priority="1466" operator="equal">
      <formula>"ITAÚ MATRIZ"</formula>
    </cfRule>
    <cfRule type="cellIs" dxfId="1500" priority="1333" operator="equal">
      <formula>"ITAÚ"</formula>
    </cfRule>
  </conditionalFormatting>
  <conditionalFormatting sqref="I341:I344">
    <cfRule type="cellIs" dxfId="1499" priority="4001" operator="equal">
      <formula>"ITAÚ"</formula>
    </cfRule>
    <cfRule type="cellIs" dxfId="1498" priority="4000" operator="equal">
      <formula>"ITAÚ"</formula>
    </cfRule>
    <cfRule type="cellIs" dxfId="1497" priority="3996" operator="between">
      <formula>"DAYCOVAL"</formula>
      <formula>"DAYCOVAL"</formula>
    </cfRule>
    <cfRule type="cellIs" dxfId="1496" priority="3995" operator="between">
      <formula>"SAFRA"</formula>
      <formula>"SAFRA"</formula>
    </cfRule>
    <cfRule type="cellIs" dxfId="1495" priority="3994" operator="between">
      <formula>"SAFRA"</formula>
      <formula>"SAFRA"</formula>
    </cfRule>
    <cfRule type="cellIs" dxfId="1494" priority="3993" operator="equal">
      <formula>"ITAÚ MATRIZ"</formula>
    </cfRule>
  </conditionalFormatting>
  <conditionalFormatting sqref="I344">
    <cfRule type="cellIs" dxfId="1493" priority="3927" operator="between">
      <formula>"ITAÚ FILIAL"</formula>
      <formula>"ITAÚ FILIAL"</formula>
    </cfRule>
    <cfRule type="cellIs" dxfId="1492" priority="3985" operator="between">
      <formula>"SAFRA"</formula>
      <formula>"SAFRA"</formula>
    </cfRule>
    <cfRule type="cellIs" dxfId="1491" priority="3992" operator="equal">
      <formula>"ITAÚ"</formula>
    </cfRule>
    <cfRule type="cellIs" dxfId="1490" priority="3998" operator="between">
      <formula>"ITAÚ FILIAL"</formula>
      <formula>"ITAÚ FILIAL"</formula>
    </cfRule>
    <cfRule type="cellIs" dxfId="1489" priority="3926" operator="between">
      <formula>"ITAÚ FILIAL"</formula>
      <formula>"ITAÚ FILIAL"</formula>
    </cfRule>
    <cfRule type="cellIs" dxfId="1488" priority="3925" operator="between">
      <formula>"DAYCOVAL"</formula>
      <formula>"DAYCOVAL"</formula>
    </cfRule>
    <cfRule type="cellIs" dxfId="1487" priority="3924" operator="between">
      <formula>"SAFRA"</formula>
      <formula>"SAFRA"</formula>
    </cfRule>
    <cfRule type="cellIs" dxfId="1486" priority="3923" operator="between">
      <formula>"SAFRA"</formula>
      <formula>"SAFRA"</formula>
    </cfRule>
    <cfRule type="cellIs" dxfId="1485" priority="3922" operator="equal">
      <formula>"ITAÚ MATRIZ"</formula>
    </cfRule>
    <cfRule type="cellIs" dxfId="1484" priority="3921" operator="equal">
      <formula>"ITAÚ"</formula>
    </cfRule>
    <cfRule type="cellIs" dxfId="1483" priority="3920" operator="equal">
      <formula>"ITAÚ"</formula>
    </cfRule>
    <cfRule type="cellIs" dxfId="1482" priority="3919" operator="between">
      <formula>"ITAÚ MATRIZ"</formula>
      <formula>"ITAÚ MATRIZ"</formula>
    </cfRule>
    <cfRule type="cellIs" dxfId="1481" priority="3918" operator="between">
      <formula>"ITAÚ FILIAL"</formula>
      <formula>"ITAÚ FILIAL"</formula>
    </cfRule>
    <cfRule type="cellIs" dxfId="1480" priority="3917" operator="between">
      <formula>"ITAÚ FILIAL"</formula>
      <formula>"ITAÚ FILIAL"</formula>
    </cfRule>
    <cfRule type="cellIs" dxfId="1479" priority="3916" operator="between">
      <formula>"DAYCOVAL"</formula>
      <formula>"DAYCOVAL"</formula>
    </cfRule>
    <cfRule type="cellIs" dxfId="1478" priority="3915" operator="between">
      <formula>"SAFRA"</formula>
      <formula>"SAFRA"</formula>
    </cfRule>
    <cfRule type="cellIs" dxfId="1477" priority="3914" operator="between">
      <formula>"SAFRA"</formula>
      <formula>"SAFRA"</formula>
    </cfRule>
    <cfRule type="cellIs" dxfId="1476" priority="3913" operator="equal">
      <formula>"ITAÚ MATRIZ"</formula>
    </cfRule>
    <cfRule type="cellIs" dxfId="1475" priority="3912" operator="equal">
      <formula>"ITAÚ"</formula>
    </cfRule>
    <cfRule type="cellIs" dxfId="1474" priority="3911" operator="between">
      <formula>"ITAÚ MATRIZ"</formula>
      <formula>"ITAÚ MATRIZ"</formula>
    </cfRule>
    <cfRule type="cellIs" dxfId="1473" priority="3999" operator="between">
      <formula>"ITAÚ MATRIZ"</formula>
      <formula>"ITAÚ MATRIZ"</formula>
    </cfRule>
    <cfRule type="cellIs" dxfId="1472" priority="3997" operator="between">
      <formula>"ITAÚ FILIAL"</formula>
      <formula>"ITAÚ FILIAL"</formula>
    </cfRule>
    <cfRule type="cellIs" dxfId="1471" priority="3990" operator="between">
      <formula>"ITAÚ MATRIZ"</formula>
      <formula>"ITAÚ MATRIZ"</formula>
    </cfRule>
    <cfRule type="cellIs" dxfId="1470" priority="3989" operator="between">
      <formula>"ITAÚ FILIAL"</formula>
      <formula>"ITAÚ FILIAL"</formula>
    </cfRule>
    <cfRule type="cellIs" dxfId="1469" priority="3910" operator="equal">
      <formula>"ITAÚ MATRIZ"</formula>
    </cfRule>
    <cfRule type="cellIs" dxfId="1468" priority="3909" operator="equal">
      <formula>"ITAÚ"</formula>
    </cfRule>
    <cfRule type="cellIs" dxfId="1467" priority="3908" operator="between">
      <formula>"ITAÚ FILIAL"</formula>
      <formula>"ITAÚ FILIAL"</formula>
    </cfRule>
    <cfRule type="cellIs" dxfId="1466" priority="3988" operator="between">
      <formula>"ITAÚ FILIAL"</formula>
      <formula>"ITAÚ FILIAL"</formula>
    </cfRule>
    <cfRule type="cellIs" dxfId="1465" priority="3987" operator="between">
      <formula>"DAYCOVAL"</formula>
      <formula>"DAYCOVAL"</formula>
    </cfRule>
    <cfRule type="cellIs" dxfId="1464" priority="3907" operator="between">
      <formula>"ITAÚ FILIAL"</formula>
      <formula>"ITAÚ FILIAL"</formula>
    </cfRule>
    <cfRule type="cellIs" dxfId="1463" priority="3906" operator="between">
      <formula>"DAYCOVAL"</formula>
      <formula>"DAYCOVAL"</formula>
    </cfRule>
    <cfRule type="cellIs" dxfId="1462" priority="3905" operator="between">
      <formula>"SAFRA"</formula>
      <formula>"SAFRA"</formula>
    </cfRule>
    <cfRule type="cellIs" dxfId="1461" priority="3904" operator="between">
      <formula>"SAFRA"</formula>
      <formula>"SAFRA"</formula>
    </cfRule>
    <cfRule type="cellIs" dxfId="1460" priority="3903" operator="equal">
      <formula>"ITAÚ"</formula>
    </cfRule>
    <cfRule type="cellIs" dxfId="1459" priority="3902" operator="equal">
      <formula>"ITAÚ"</formula>
    </cfRule>
    <cfRule type="cellIs" dxfId="1458" priority="3901" operator="between">
      <formula>"ITAÚ MATRIZ"</formula>
      <formula>"ITAÚ MATRIZ"</formula>
    </cfRule>
    <cfRule type="cellIs" dxfId="1457" priority="3900" operator="between">
      <formula>"ITAÚ FILIAL"</formula>
      <formula>"ITAÚ FILIAL"</formula>
    </cfRule>
    <cfRule type="cellIs" dxfId="1456" priority="3899" operator="between">
      <formula>"ITAÚ FILIAL"</formula>
      <formula>"ITAÚ FILIAL"</formula>
    </cfRule>
    <cfRule type="cellIs" dxfId="1455" priority="3898" operator="between">
      <formula>"DAYCOVAL"</formula>
      <formula>"DAYCOVAL"</formula>
    </cfRule>
    <cfRule type="cellIs" dxfId="1454" priority="3897" operator="between">
      <formula>"SAFRA"</formula>
      <formula>"SAFRA"</formula>
    </cfRule>
    <cfRule type="cellIs" dxfId="1453" priority="3896" operator="between">
      <formula>"SAFRA"</formula>
      <formula>"SAFRA"</formula>
    </cfRule>
    <cfRule type="cellIs" dxfId="1452" priority="3895" operator="equal">
      <formula>"ITAÚ MATRIZ"</formula>
    </cfRule>
    <cfRule type="cellIs" dxfId="1451" priority="3928" operator="between">
      <formula>"ITAÚ MATRIZ"</formula>
      <formula>"ITAÚ MATRIZ"</formula>
    </cfRule>
    <cfRule type="cellIs" dxfId="1450" priority="3929" operator="equal">
      <formula>"ITAÚ"</formula>
    </cfRule>
    <cfRule type="cellIs" dxfId="1449" priority="3930" operator="equal">
      <formula>"ITAÚ"</formula>
    </cfRule>
    <cfRule type="cellIs" dxfId="1448" priority="3931" operator="equal">
      <formula>"ITAÚ MATRIZ"</formula>
    </cfRule>
    <cfRule type="cellIs" dxfId="1447" priority="3932" operator="between">
      <formula>"SAFRA"</formula>
      <formula>"SAFRA"</formula>
    </cfRule>
    <cfRule type="cellIs" dxfId="1446" priority="3933" operator="between">
      <formula>"SAFRA"</formula>
      <formula>"SAFRA"</formula>
    </cfRule>
    <cfRule type="cellIs" dxfId="1445" priority="3934" operator="between">
      <formula>"DAYCOVAL"</formula>
      <formula>"DAYCOVAL"</formula>
    </cfRule>
    <cfRule type="cellIs" dxfId="1444" priority="3935" operator="between">
      <formula>"ITAÚ FILIAL"</formula>
      <formula>"ITAÚ FILIAL"</formula>
    </cfRule>
    <cfRule type="cellIs" dxfId="1443" priority="3936" operator="between">
      <formula>"ITAÚ FILIAL"</formula>
      <formula>"ITAÚ FILIAL"</formula>
    </cfRule>
    <cfRule type="cellIs" dxfId="1442" priority="3937" operator="between">
      <formula>"ITAÚ MATRIZ"</formula>
      <formula>"ITAÚ MATRIZ"</formula>
    </cfRule>
    <cfRule type="cellIs" dxfId="1441" priority="3938" operator="equal">
      <formula>"ITAÚ"</formula>
    </cfRule>
    <cfRule type="cellIs" dxfId="1440" priority="3939" operator="equal">
      <formula>"ITAÚ"</formula>
    </cfRule>
    <cfRule type="cellIs" dxfId="1439" priority="3940" operator="equal">
      <formula>"ITAÚ MATRIZ"</formula>
    </cfRule>
    <cfRule type="cellIs" dxfId="1438" priority="3941" operator="between">
      <formula>"SAFRA"</formula>
      <formula>"SAFRA"</formula>
    </cfRule>
    <cfRule type="cellIs" dxfId="1437" priority="3942" operator="between">
      <formula>"SAFRA"</formula>
      <formula>"SAFRA"</formula>
    </cfRule>
    <cfRule type="cellIs" dxfId="1436" priority="3943" operator="between">
      <formula>"DAYCOVAL"</formula>
      <formula>"DAYCOVAL"</formula>
    </cfRule>
    <cfRule type="cellIs" dxfId="1435" priority="3944" operator="between">
      <formula>"ITAÚ FILIAL"</formula>
      <formula>"ITAÚ FILIAL"</formula>
    </cfRule>
    <cfRule type="cellIs" dxfId="1434" priority="3945" operator="between">
      <formula>"ITAÚ FILIAL"</formula>
      <formula>"ITAÚ FILIAL"</formula>
    </cfRule>
    <cfRule type="cellIs" dxfId="1433" priority="3946" operator="between">
      <formula>"ITAÚ MATRIZ"</formula>
      <formula>"ITAÚ MATRIZ"</formula>
    </cfRule>
    <cfRule type="cellIs" dxfId="1432" priority="3947" operator="equal">
      <formula>"ITAÚ"</formula>
    </cfRule>
    <cfRule type="cellIs" dxfId="1431" priority="3948" operator="equal">
      <formula>"ITAÚ"</formula>
    </cfRule>
    <cfRule type="cellIs" dxfId="1430" priority="3949" operator="equal">
      <formula>"ITAÚ MATRIZ"</formula>
    </cfRule>
    <cfRule type="cellIs" dxfId="1429" priority="3950" operator="between">
      <formula>"SAFRA"</formula>
      <formula>"SAFRA"</formula>
    </cfRule>
    <cfRule type="cellIs" dxfId="1428" priority="3951" operator="between">
      <formula>"SAFRA"</formula>
      <formula>"SAFRA"</formula>
    </cfRule>
    <cfRule type="cellIs" dxfId="1427" priority="3952" operator="between">
      <formula>"DAYCOVAL"</formula>
      <formula>"DAYCOVAL"</formula>
    </cfRule>
    <cfRule type="cellIs" dxfId="1426" priority="3953" operator="between">
      <formula>"ITAÚ FILIAL"</formula>
      <formula>"ITAÚ FILIAL"</formula>
    </cfRule>
    <cfRule type="cellIs" dxfId="1425" priority="3954" operator="between">
      <formula>"ITAÚ FILIAL"</formula>
      <formula>"ITAÚ FILIAL"</formula>
    </cfRule>
    <cfRule type="cellIs" dxfId="1424" priority="3955" operator="between">
      <formula>"ITAÚ MATRIZ"</formula>
      <formula>"ITAÚ MATRIZ"</formula>
    </cfRule>
    <cfRule type="cellIs" dxfId="1423" priority="3956" operator="equal">
      <formula>"ITAÚ"</formula>
    </cfRule>
    <cfRule type="cellIs" dxfId="1422" priority="3957" operator="equal">
      <formula>"ITAÚ"</formula>
    </cfRule>
    <cfRule type="cellIs" dxfId="1421" priority="3958" operator="between">
      <formula>"SAFRA"</formula>
      <formula>"SAFRA"</formula>
    </cfRule>
    <cfRule type="cellIs" dxfId="1420" priority="3959" operator="between">
      <formula>"SAFRA"</formula>
      <formula>"SAFRA"</formula>
    </cfRule>
    <cfRule type="cellIs" dxfId="1419" priority="3960" operator="between">
      <formula>"DAYCOVAL"</formula>
      <formula>"DAYCOVAL"</formula>
    </cfRule>
    <cfRule type="cellIs" dxfId="1418" priority="3961" operator="between">
      <formula>"ITAÚ FILIAL"</formula>
      <formula>"ITAÚ FILIAL"</formula>
    </cfRule>
    <cfRule type="cellIs" dxfId="1417" priority="3962" operator="between">
      <formula>"ITAÚ FILIAL"</formula>
      <formula>"ITAÚ FILIAL"</formula>
    </cfRule>
    <cfRule type="cellIs" dxfId="1416" priority="3963" operator="equal">
      <formula>"ITAÚ"</formula>
    </cfRule>
    <cfRule type="cellIs" dxfId="1415" priority="3964" operator="equal">
      <formula>"ITAÚ MATRIZ"</formula>
    </cfRule>
    <cfRule type="cellIs" dxfId="1414" priority="3965" operator="between">
      <formula>"ITAÚ MATRIZ"</formula>
      <formula>"ITAÚ MATRIZ"</formula>
    </cfRule>
    <cfRule type="cellIs" dxfId="1413" priority="3966" operator="equal">
      <formula>"ITAÚ"</formula>
    </cfRule>
    <cfRule type="cellIs" dxfId="1412" priority="3967" operator="equal">
      <formula>"ITAÚ MATRIZ"</formula>
    </cfRule>
    <cfRule type="cellIs" dxfId="1411" priority="3968" operator="between">
      <formula>"SAFRA"</formula>
      <formula>"SAFRA"</formula>
    </cfRule>
    <cfRule type="cellIs" dxfId="1410" priority="3969" operator="between">
      <formula>"SAFRA"</formula>
      <formula>"SAFRA"</formula>
    </cfRule>
    <cfRule type="cellIs" dxfId="1409" priority="3970" operator="between">
      <formula>"DAYCOVAL"</formula>
      <formula>"DAYCOVAL"</formula>
    </cfRule>
    <cfRule type="cellIs" dxfId="1408" priority="3971" operator="between">
      <formula>"ITAÚ FILIAL"</formula>
      <formula>"ITAÚ FILIAL"</formula>
    </cfRule>
    <cfRule type="cellIs" dxfId="1407" priority="3972" operator="between">
      <formula>"ITAÚ FILIAL"</formula>
      <formula>"ITAÚ FILIAL"</formula>
    </cfRule>
    <cfRule type="cellIs" dxfId="1406" priority="3973" operator="between">
      <formula>"ITAÚ MATRIZ"</formula>
      <formula>"ITAÚ MATRIZ"</formula>
    </cfRule>
    <cfRule type="cellIs" dxfId="1405" priority="3974" operator="equal">
      <formula>"ITAÚ"</formula>
    </cfRule>
    <cfRule type="cellIs" dxfId="1404" priority="3975" operator="equal">
      <formula>"ITAÚ"</formula>
    </cfRule>
    <cfRule type="cellIs" dxfId="1403" priority="3976" operator="between">
      <formula>"SAFRA"</formula>
      <formula>"SAFRA"</formula>
    </cfRule>
    <cfRule type="cellIs" dxfId="1402" priority="3977" operator="between">
      <formula>"SAFRA"</formula>
      <formula>"SAFRA"</formula>
    </cfRule>
    <cfRule type="cellIs" dxfId="1401" priority="3978" operator="between">
      <formula>"DAYCOVAL"</formula>
      <formula>"DAYCOVAL"</formula>
    </cfRule>
    <cfRule type="cellIs" dxfId="1400" priority="3979" operator="between">
      <formula>"ITAÚ FILIAL"</formula>
      <formula>"ITAÚ FILIAL"</formula>
    </cfRule>
    <cfRule type="cellIs" dxfId="1399" priority="3980" operator="between">
      <formula>"ITAÚ FILIAL"</formula>
      <formula>"ITAÚ FILIAL"</formula>
    </cfRule>
    <cfRule type="cellIs" dxfId="1398" priority="3981" operator="equal">
      <formula>"ITAÚ"</formula>
    </cfRule>
    <cfRule type="cellIs" dxfId="1397" priority="3982" operator="equal">
      <formula>"ITAÚ MATRIZ"</formula>
    </cfRule>
    <cfRule type="cellIs" dxfId="1396" priority="3983" operator="between">
      <formula>"ITAÚ MATRIZ"</formula>
      <formula>"ITAÚ MATRIZ"</formula>
    </cfRule>
    <cfRule type="cellIs" dxfId="1395" priority="3984" operator="equal">
      <formula>"ITAÚ MATRIZ"</formula>
    </cfRule>
    <cfRule type="cellIs" dxfId="1394" priority="3986" operator="between">
      <formula>"SAFRA"</formula>
      <formula>"SAFRA"</formula>
    </cfRule>
  </conditionalFormatting>
  <conditionalFormatting sqref="I345:I359">
    <cfRule type="cellIs" dxfId="1393" priority="4131" operator="equal">
      <formula>"ITAÚ"</formula>
    </cfRule>
    <cfRule type="cellIs" dxfId="1392" priority="4127" operator="between">
      <formula>"DAYCOVAL"</formula>
      <formula>"DAYCOVAL"</formula>
    </cfRule>
    <cfRule type="cellIs" dxfId="1391" priority="4126" operator="between">
      <formula>"SAFRA"</formula>
      <formula>"SAFRA"</formula>
    </cfRule>
    <cfRule type="cellIs" dxfId="1390" priority="4125" operator="between">
      <formula>"SAFRA"</formula>
      <formula>"SAFRA"</formula>
    </cfRule>
    <cfRule type="cellIs" dxfId="1389" priority="4124" operator="equal">
      <formula>"ITAÚ MATRIZ"</formula>
    </cfRule>
    <cfRule type="cellIs" dxfId="1388" priority="4132" operator="equal">
      <formula>"ITAÚ"</formula>
    </cfRule>
  </conditionalFormatting>
  <conditionalFormatting sqref="I359">
    <cfRule type="cellIs" dxfId="1387" priority="4129" operator="between">
      <formula>"ITAÚ FILIAL"</formula>
      <formula>"ITAÚ FILIAL"</formula>
    </cfRule>
    <cfRule type="cellIs" dxfId="1386" priority="4123" operator="equal">
      <formula>"ITAÚ"</formula>
    </cfRule>
    <cfRule type="cellIs" dxfId="1385" priority="4128" operator="between">
      <formula>"ITAÚ FILIAL"</formula>
      <formula>"ITAÚ FILIAL"</formula>
    </cfRule>
    <cfRule type="cellIs" dxfId="1384" priority="4026" operator="equal">
      <formula>"ITAÚ MATRIZ"</formula>
    </cfRule>
    <cfRule type="cellIs" dxfId="1383" priority="4027" operator="between">
      <formula>"SAFRA"</formula>
      <formula>"SAFRA"</formula>
    </cfRule>
    <cfRule type="cellIs" dxfId="1382" priority="4028" operator="between">
      <formula>"SAFRA"</formula>
      <formula>"SAFRA"</formula>
    </cfRule>
    <cfRule type="cellIs" dxfId="1381" priority="4029" operator="between">
      <formula>"DAYCOVAL"</formula>
      <formula>"DAYCOVAL"</formula>
    </cfRule>
    <cfRule type="cellIs" dxfId="1380" priority="4030" operator="between">
      <formula>"ITAÚ FILIAL"</formula>
      <formula>"ITAÚ FILIAL"</formula>
    </cfRule>
    <cfRule type="cellIs" dxfId="1379" priority="4031" operator="between">
      <formula>"ITAÚ FILIAL"</formula>
      <formula>"ITAÚ FILIAL"</formula>
    </cfRule>
    <cfRule type="cellIs" dxfId="1378" priority="4032" operator="between">
      <formula>"ITAÚ MATRIZ"</formula>
      <formula>"ITAÚ MATRIZ"</formula>
    </cfRule>
    <cfRule type="cellIs" dxfId="1377" priority="4033" operator="equal">
      <formula>"ITAÚ"</formula>
    </cfRule>
    <cfRule type="cellIs" dxfId="1376" priority="4034" operator="equal">
      <formula>"ITAÚ"</formula>
    </cfRule>
    <cfRule type="cellIs" dxfId="1375" priority="4035" operator="between">
      <formula>"SAFRA"</formula>
      <formula>"SAFRA"</formula>
    </cfRule>
    <cfRule type="cellIs" dxfId="1374" priority="4036" operator="between">
      <formula>"SAFRA"</formula>
      <formula>"SAFRA"</formula>
    </cfRule>
    <cfRule type="cellIs" dxfId="1373" priority="4037" operator="between">
      <formula>"DAYCOVAL"</formula>
      <formula>"DAYCOVAL"</formula>
    </cfRule>
    <cfRule type="cellIs" dxfId="1372" priority="4038" operator="between">
      <formula>"ITAÚ FILIAL"</formula>
      <formula>"ITAÚ FILIAL"</formula>
    </cfRule>
    <cfRule type="cellIs" dxfId="1371" priority="4039" operator="between">
      <formula>"ITAÚ FILIAL"</formula>
      <formula>"ITAÚ FILIAL"</formula>
    </cfRule>
    <cfRule type="cellIs" dxfId="1370" priority="4040" operator="equal">
      <formula>"ITAÚ"</formula>
    </cfRule>
    <cfRule type="cellIs" dxfId="1369" priority="4041" operator="equal">
      <formula>"ITAÚ MATRIZ"</formula>
    </cfRule>
    <cfRule type="cellIs" dxfId="1368" priority="4042" operator="between">
      <formula>"ITAÚ MATRIZ"</formula>
      <formula>"ITAÚ MATRIZ"</formula>
    </cfRule>
    <cfRule type="cellIs" dxfId="1367" priority="4043" operator="equal">
      <formula>"ITAÚ"</formula>
    </cfRule>
    <cfRule type="cellIs" dxfId="1366" priority="4044" operator="equal">
      <formula>"ITAÚ MATRIZ"</formula>
    </cfRule>
    <cfRule type="cellIs" dxfId="1365" priority="4045" operator="between">
      <formula>"SAFRA"</formula>
      <formula>"SAFRA"</formula>
    </cfRule>
    <cfRule type="cellIs" dxfId="1364" priority="4046" operator="between">
      <formula>"SAFRA"</formula>
      <formula>"SAFRA"</formula>
    </cfRule>
    <cfRule type="cellIs" dxfId="1363" priority="4047" operator="between">
      <formula>"DAYCOVAL"</formula>
      <formula>"DAYCOVAL"</formula>
    </cfRule>
    <cfRule type="cellIs" dxfId="1362" priority="4048" operator="between">
      <formula>"ITAÚ FILIAL"</formula>
      <formula>"ITAÚ FILIAL"</formula>
    </cfRule>
    <cfRule type="cellIs" dxfId="1361" priority="4049" operator="between">
      <formula>"ITAÚ FILIAL"</formula>
      <formula>"ITAÚ FILIAL"</formula>
    </cfRule>
    <cfRule type="cellIs" dxfId="1360" priority="4050" operator="between">
      <formula>"ITAÚ MATRIZ"</formula>
      <formula>"ITAÚ MATRIZ"</formula>
    </cfRule>
    <cfRule type="cellIs" dxfId="1359" priority="4051" operator="equal">
      <formula>"ITAÚ"</formula>
    </cfRule>
    <cfRule type="cellIs" dxfId="1358" priority="4052" operator="equal">
      <formula>"ITAÚ"</formula>
    </cfRule>
    <cfRule type="cellIs" dxfId="1357" priority="4053" operator="equal">
      <formula>"ITAÚ MATRIZ"</formula>
    </cfRule>
    <cfRule type="cellIs" dxfId="1356" priority="4054" operator="between">
      <formula>"SAFRA"</formula>
      <formula>"SAFRA"</formula>
    </cfRule>
    <cfRule type="cellIs" dxfId="1355" priority="4055" operator="between">
      <formula>"SAFRA"</formula>
      <formula>"SAFRA"</formula>
    </cfRule>
    <cfRule type="cellIs" dxfId="1354" priority="4056" operator="between">
      <formula>"DAYCOVAL"</formula>
      <formula>"DAYCOVAL"</formula>
    </cfRule>
    <cfRule type="cellIs" dxfId="1353" priority="4057" operator="between">
      <formula>"ITAÚ FILIAL"</formula>
      <formula>"ITAÚ FILIAL"</formula>
    </cfRule>
    <cfRule type="cellIs" dxfId="1352" priority="4058" operator="between">
      <formula>"ITAÚ FILIAL"</formula>
      <formula>"ITAÚ FILIAL"</formula>
    </cfRule>
    <cfRule type="cellIs" dxfId="1351" priority="4059" operator="between">
      <formula>"ITAÚ MATRIZ"</formula>
      <formula>"ITAÚ MATRIZ"</formula>
    </cfRule>
    <cfRule type="cellIs" dxfId="1350" priority="4060" operator="equal">
      <formula>"ITAÚ"</formula>
    </cfRule>
    <cfRule type="cellIs" dxfId="1349" priority="4061" operator="equal">
      <formula>"ITAÚ"</formula>
    </cfRule>
    <cfRule type="cellIs" dxfId="1348" priority="4062" operator="equal">
      <formula>"ITAÚ MATRIZ"</formula>
    </cfRule>
    <cfRule type="cellIs" dxfId="1347" priority="4063" operator="between">
      <formula>"SAFRA"</formula>
      <formula>"SAFRA"</formula>
    </cfRule>
    <cfRule type="cellIs" dxfId="1346" priority="4064" operator="between">
      <formula>"SAFRA"</formula>
      <formula>"SAFRA"</formula>
    </cfRule>
    <cfRule type="cellIs" dxfId="1345" priority="4065" operator="between">
      <formula>"DAYCOVAL"</formula>
      <formula>"DAYCOVAL"</formula>
    </cfRule>
    <cfRule type="cellIs" dxfId="1344" priority="4066" operator="between">
      <formula>"ITAÚ FILIAL"</formula>
      <formula>"ITAÚ FILIAL"</formula>
    </cfRule>
    <cfRule type="cellIs" dxfId="1343" priority="4067" operator="between">
      <formula>"ITAÚ FILIAL"</formula>
      <formula>"ITAÚ FILIAL"</formula>
    </cfRule>
    <cfRule type="cellIs" dxfId="1342" priority="4068" operator="between">
      <formula>"ITAÚ MATRIZ"</formula>
      <formula>"ITAÚ MATRIZ"</formula>
    </cfRule>
    <cfRule type="cellIs" dxfId="1341" priority="4069" operator="equal">
      <formula>"ITAÚ"</formula>
    </cfRule>
    <cfRule type="cellIs" dxfId="1340" priority="4070" operator="equal">
      <formula>"ITAÚ"</formula>
    </cfRule>
    <cfRule type="cellIs" dxfId="1339" priority="4071" operator="equal">
      <formula>"ITAÚ MATRIZ"</formula>
    </cfRule>
    <cfRule type="cellIs" dxfId="1338" priority="4072" operator="between">
      <formula>"SAFRA"</formula>
      <formula>"SAFRA"</formula>
    </cfRule>
    <cfRule type="cellIs" dxfId="1337" priority="4073" operator="between">
      <formula>"SAFRA"</formula>
      <formula>"SAFRA"</formula>
    </cfRule>
    <cfRule type="cellIs" dxfId="1336" priority="4074" operator="between">
      <formula>"DAYCOVAL"</formula>
      <formula>"DAYCOVAL"</formula>
    </cfRule>
    <cfRule type="cellIs" dxfId="1335" priority="4075" operator="between">
      <formula>"ITAÚ FILIAL"</formula>
      <formula>"ITAÚ FILIAL"</formula>
    </cfRule>
    <cfRule type="cellIs" dxfId="1334" priority="4076" operator="between">
      <formula>"ITAÚ FILIAL"</formula>
      <formula>"ITAÚ FILIAL"</formula>
    </cfRule>
    <cfRule type="cellIs" dxfId="1333" priority="4077" operator="between">
      <formula>"ITAÚ MATRIZ"</formula>
      <formula>"ITAÚ MATRIZ"</formula>
    </cfRule>
    <cfRule type="cellIs" dxfId="1332" priority="4078" operator="equal">
      <formula>"ITAÚ"</formula>
    </cfRule>
    <cfRule type="cellIs" dxfId="1331" priority="4079" operator="equal">
      <formula>"ITAÚ"</formula>
    </cfRule>
    <cfRule type="cellIs" dxfId="1330" priority="4080" operator="equal">
      <formula>"ITAÚ MATRIZ"</formula>
    </cfRule>
    <cfRule type="cellIs" dxfId="1329" priority="4081" operator="between">
      <formula>"SAFRA"</formula>
      <formula>"SAFRA"</formula>
    </cfRule>
    <cfRule type="cellIs" dxfId="1328" priority="4082" operator="between">
      <formula>"SAFRA"</formula>
      <formula>"SAFRA"</formula>
    </cfRule>
    <cfRule type="cellIs" dxfId="1327" priority="4083" operator="between">
      <formula>"DAYCOVAL"</formula>
      <formula>"DAYCOVAL"</formula>
    </cfRule>
    <cfRule type="cellIs" dxfId="1326" priority="4084" operator="between">
      <formula>"ITAÚ FILIAL"</formula>
      <formula>"ITAÚ FILIAL"</formula>
    </cfRule>
    <cfRule type="cellIs" dxfId="1325" priority="4085" operator="between">
      <formula>"ITAÚ FILIAL"</formula>
      <formula>"ITAÚ FILIAL"</formula>
    </cfRule>
    <cfRule type="cellIs" dxfId="1324" priority="4086" operator="between">
      <formula>"ITAÚ MATRIZ"</formula>
      <formula>"ITAÚ MATRIZ"</formula>
    </cfRule>
    <cfRule type="cellIs" dxfId="1323" priority="4087" operator="equal">
      <formula>"ITAÚ"</formula>
    </cfRule>
    <cfRule type="cellIs" dxfId="1322" priority="4088" operator="equal">
      <formula>"ITAÚ"</formula>
    </cfRule>
    <cfRule type="cellIs" dxfId="1321" priority="4089" operator="between">
      <formula>"SAFRA"</formula>
      <formula>"SAFRA"</formula>
    </cfRule>
    <cfRule type="cellIs" dxfId="1320" priority="4090" operator="between">
      <formula>"SAFRA"</formula>
      <formula>"SAFRA"</formula>
    </cfRule>
    <cfRule type="cellIs" dxfId="1319" priority="4091" operator="between">
      <formula>"DAYCOVAL"</formula>
      <formula>"DAYCOVAL"</formula>
    </cfRule>
    <cfRule type="cellIs" dxfId="1318" priority="4092" operator="between">
      <formula>"ITAÚ FILIAL"</formula>
      <formula>"ITAÚ FILIAL"</formula>
    </cfRule>
    <cfRule type="cellIs" dxfId="1317" priority="4093" operator="between">
      <formula>"ITAÚ FILIAL"</formula>
      <formula>"ITAÚ FILIAL"</formula>
    </cfRule>
    <cfRule type="cellIs" dxfId="1316" priority="4094" operator="equal">
      <formula>"ITAÚ"</formula>
    </cfRule>
    <cfRule type="cellIs" dxfId="1315" priority="4095" operator="equal">
      <formula>"ITAÚ MATRIZ"</formula>
    </cfRule>
    <cfRule type="cellIs" dxfId="1314" priority="4096" operator="between">
      <formula>"ITAÚ MATRIZ"</formula>
      <formula>"ITAÚ MATRIZ"</formula>
    </cfRule>
    <cfRule type="cellIs" dxfId="1313" priority="4097" operator="equal">
      <formula>"ITAÚ"</formula>
    </cfRule>
    <cfRule type="cellIs" dxfId="1312" priority="4098" operator="equal">
      <formula>"ITAÚ MATRIZ"</formula>
    </cfRule>
    <cfRule type="cellIs" dxfId="1311" priority="4099" operator="between">
      <formula>"SAFRA"</formula>
      <formula>"SAFRA"</formula>
    </cfRule>
    <cfRule type="cellIs" dxfId="1310" priority="4100" operator="between">
      <formula>"SAFRA"</formula>
      <formula>"SAFRA"</formula>
    </cfRule>
    <cfRule type="cellIs" dxfId="1309" priority="4101" operator="between">
      <formula>"DAYCOVAL"</formula>
      <formula>"DAYCOVAL"</formula>
    </cfRule>
    <cfRule type="cellIs" dxfId="1308" priority="4102" operator="between">
      <formula>"ITAÚ FILIAL"</formula>
      <formula>"ITAÚ FILIAL"</formula>
    </cfRule>
    <cfRule type="cellIs" dxfId="1307" priority="4103" operator="between">
      <formula>"ITAÚ FILIAL"</formula>
      <formula>"ITAÚ FILIAL"</formula>
    </cfRule>
    <cfRule type="cellIs" dxfId="1306" priority="4104" operator="between">
      <formula>"ITAÚ MATRIZ"</formula>
      <formula>"ITAÚ MATRIZ"</formula>
    </cfRule>
    <cfRule type="cellIs" dxfId="1305" priority="4105" operator="equal">
      <formula>"ITAÚ"</formula>
    </cfRule>
    <cfRule type="cellIs" dxfId="1304" priority="4106" operator="equal">
      <formula>"ITAÚ"</formula>
    </cfRule>
    <cfRule type="cellIs" dxfId="1303" priority="4107" operator="between">
      <formula>"SAFRA"</formula>
      <formula>"SAFRA"</formula>
    </cfRule>
    <cfRule type="cellIs" dxfId="1302" priority="4108" operator="between">
      <formula>"SAFRA"</formula>
      <formula>"SAFRA"</formula>
    </cfRule>
    <cfRule type="cellIs" dxfId="1301" priority="4109" operator="between">
      <formula>"DAYCOVAL"</formula>
      <formula>"DAYCOVAL"</formula>
    </cfRule>
    <cfRule type="cellIs" dxfId="1300" priority="4110" operator="between">
      <formula>"ITAÚ FILIAL"</formula>
      <formula>"ITAÚ FILIAL"</formula>
    </cfRule>
    <cfRule type="cellIs" dxfId="1299" priority="4111" operator="between">
      <formula>"ITAÚ FILIAL"</formula>
      <formula>"ITAÚ FILIAL"</formula>
    </cfRule>
    <cfRule type="cellIs" dxfId="1298" priority="4112" operator="equal">
      <formula>"ITAÚ"</formula>
    </cfRule>
    <cfRule type="cellIs" dxfId="1297" priority="4113" operator="equal">
      <formula>"ITAÚ MATRIZ"</formula>
    </cfRule>
    <cfRule type="cellIs" dxfId="1296" priority="4114" operator="between">
      <formula>"ITAÚ MATRIZ"</formula>
      <formula>"ITAÚ MATRIZ"</formula>
    </cfRule>
    <cfRule type="cellIs" dxfId="1295" priority="4115" operator="equal">
      <formula>"ITAÚ MATRIZ"</formula>
    </cfRule>
    <cfRule type="cellIs" dxfId="1294" priority="4116" operator="between">
      <formula>"SAFRA"</formula>
      <formula>"SAFRA"</formula>
    </cfRule>
    <cfRule type="cellIs" dxfId="1293" priority="4117" operator="between">
      <formula>"SAFRA"</formula>
      <formula>"SAFRA"</formula>
    </cfRule>
    <cfRule type="cellIs" dxfId="1292" priority="4118" operator="between">
      <formula>"DAYCOVAL"</formula>
      <formula>"DAYCOVAL"</formula>
    </cfRule>
    <cfRule type="cellIs" dxfId="1291" priority="4119" operator="between">
      <formula>"ITAÚ FILIAL"</formula>
      <formula>"ITAÚ FILIAL"</formula>
    </cfRule>
    <cfRule type="cellIs" dxfId="1290" priority="4120" operator="between">
      <formula>"ITAÚ FILIAL"</formula>
      <formula>"ITAÚ FILIAL"</formula>
    </cfRule>
    <cfRule type="cellIs" dxfId="1289" priority="4121" operator="between">
      <formula>"ITAÚ MATRIZ"</formula>
      <formula>"ITAÚ MATRIZ"</formula>
    </cfRule>
    <cfRule type="cellIs" dxfId="1288" priority="4130" operator="between">
      <formula>"ITAÚ MATRIZ"</formula>
      <formula>"ITAÚ MATRIZ"</formula>
    </cfRule>
  </conditionalFormatting>
  <conditionalFormatting sqref="I360:I367">
    <cfRule type="cellIs" dxfId="1287" priority="4255" operator="between">
      <formula>"SAFRA"</formula>
      <formula>"SAFRA"</formula>
    </cfRule>
    <cfRule type="cellIs" dxfId="1286" priority="4257" operator="between">
      <formula>"DAYCOVAL"</formula>
      <formula>"DAYCOVAL"</formula>
    </cfRule>
    <cfRule type="cellIs" dxfId="1285" priority="4261" operator="equal">
      <formula>"ITAÚ"</formula>
    </cfRule>
    <cfRule type="cellIs" dxfId="1284" priority="4256" operator="between">
      <formula>"SAFRA"</formula>
      <formula>"SAFRA"</formula>
    </cfRule>
    <cfRule type="cellIs" dxfId="1283" priority="4254" operator="equal">
      <formula>"ITAÚ MATRIZ"</formula>
    </cfRule>
    <cfRule type="cellIs" dxfId="1282" priority="4262" operator="equal">
      <formula>"ITAÚ"</formula>
    </cfRule>
  </conditionalFormatting>
  <conditionalFormatting sqref="I367">
    <cfRule type="cellIs" dxfId="1281" priority="4234" operator="between">
      <formula>"ITAÚ MATRIZ"</formula>
      <formula>"ITAÚ MATRIZ"</formula>
    </cfRule>
    <cfRule type="cellIs" dxfId="1280" priority="4244" operator="between">
      <formula>"ITAÚ MATRIZ"</formula>
      <formula>"ITAÚ MATRIZ"</formula>
    </cfRule>
    <cfRule type="cellIs" dxfId="1279" priority="4235" operator="equal">
      <formula>"ITAÚ"</formula>
    </cfRule>
    <cfRule type="cellIs" dxfId="1278" priority="4156" operator="equal">
      <formula>"ITAÚ MATRIZ"</formula>
    </cfRule>
    <cfRule type="cellIs" dxfId="1277" priority="4157" operator="between">
      <formula>"SAFRA"</formula>
      <formula>"SAFRA"</formula>
    </cfRule>
    <cfRule type="cellIs" dxfId="1276" priority="4158" operator="between">
      <formula>"SAFRA"</formula>
      <formula>"SAFRA"</formula>
    </cfRule>
    <cfRule type="cellIs" dxfId="1275" priority="4159" operator="between">
      <formula>"DAYCOVAL"</formula>
      <formula>"DAYCOVAL"</formula>
    </cfRule>
    <cfRule type="cellIs" dxfId="1274" priority="4160" operator="between">
      <formula>"ITAÚ FILIAL"</formula>
      <formula>"ITAÚ FILIAL"</formula>
    </cfRule>
    <cfRule type="cellIs" dxfId="1273" priority="4161" operator="between">
      <formula>"ITAÚ FILIAL"</formula>
      <formula>"ITAÚ FILIAL"</formula>
    </cfRule>
    <cfRule type="cellIs" dxfId="1272" priority="4162" operator="between">
      <formula>"ITAÚ MATRIZ"</formula>
      <formula>"ITAÚ MATRIZ"</formula>
    </cfRule>
    <cfRule type="cellIs" dxfId="1271" priority="4163" operator="equal">
      <formula>"ITAÚ"</formula>
    </cfRule>
    <cfRule type="cellIs" dxfId="1270" priority="4164" operator="equal">
      <formula>"ITAÚ"</formula>
    </cfRule>
    <cfRule type="cellIs" dxfId="1269" priority="4165" operator="between">
      <formula>"SAFRA"</formula>
      <formula>"SAFRA"</formula>
    </cfRule>
    <cfRule type="cellIs" dxfId="1268" priority="4166" operator="between">
      <formula>"SAFRA"</formula>
      <formula>"SAFRA"</formula>
    </cfRule>
    <cfRule type="cellIs" dxfId="1267" priority="4167" operator="between">
      <formula>"DAYCOVAL"</formula>
      <formula>"DAYCOVAL"</formula>
    </cfRule>
    <cfRule type="cellIs" dxfId="1266" priority="4168" operator="between">
      <formula>"ITAÚ FILIAL"</formula>
      <formula>"ITAÚ FILIAL"</formula>
    </cfRule>
    <cfRule type="cellIs" dxfId="1265" priority="4169" operator="between">
      <formula>"ITAÚ FILIAL"</formula>
      <formula>"ITAÚ FILIAL"</formula>
    </cfRule>
    <cfRule type="cellIs" dxfId="1264" priority="4170" operator="equal">
      <formula>"ITAÚ"</formula>
    </cfRule>
    <cfRule type="cellIs" dxfId="1263" priority="4171" operator="equal">
      <formula>"ITAÚ MATRIZ"</formula>
    </cfRule>
    <cfRule type="cellIs" dxfId="1262" priority="4172" operator="between">
      <formula>"ITAÚ MATRIZ"</formula>
      <formula>"ITAÚ MATRIZ"</formula>
    </cfRule>
    <cfRule type="cellIs" dxfId="1261" priority="4173" operator="equal">
      <formula>"ITAÚ"</formula>
    </cfRule>
    <cfRule type="cellIs" dxfId="1260" priority="4174" operator="equal">
      <formula>"ITAÚ MATRIZ"</formula>
    </cfRule>
    <cfRule type="cellIs" dxfId="1259" priority="4175" operator="between">
      <formula>"SAFRA"</formula>
      <formula>"SAFRA"</formula>
    </cfRule>
    <cfRule type="cellIs" dxfId="1258" priority="4176" operator="between">
      <formula>"SAFRA"</formula>
      <formula>"SAFRA"</formula>
    </cfRule>
    <cfRule type="cellIs" dxfId="1257" priority="4177" operator="between">
      <formula>"DAYCOVAL"</formula>
      <formula>"DAYCOVAL"</formula>
    </cfRule>
    <cfRule type="cellIs" dxfId="1256" priority="4178" operator="between">
      <formula>"ITAÚ FILIAL"</formula>
      <formula>"ITAÚ FILIAL"</formula>
    </cfRule>
    <cfRule type="cellIs" dxfId="1255" priority="4179" operator="between">
      <formula>"ITAÚ FILIAL"</formula>
      <formula>"ITAÚ FILIAL"</formula>
    </cfRule>
    <cfRule type="cellIs" dxfId="1254" priority="4237" operator="between">
      <formula>"SAFRA"</formula>
      <formula>"SAFRA"</formula>
    </cfRule>
    <cfRule type="cellIs" dxfId="1253" priority="4238" operator="between">
      <formula>"SAFRA"</formula>
      <formula>"SAFRA"</formula>
    </cfRule>
    <cfRule type="cellIs" dxfId="1252" priority="4239" operator="between">
      <formula>"DAYCOVAL"</formula>
      <formula>"DAYCOVAL"</formula>
    </cfRule>
    <cfRule type="cellIs" dxfId="1251" priority="4240" operator="between">
      <formula>"ITAÚ FILIAL"</formula>
      <formula>"ITAÚ FILIAL"</formula>
    </cfRule>
    <cfRule type="cellIs" dxfId="1250" priority="4180" operator="between">
      <formula>"ITAÚ MATRIZ"</formula>
      <formula>"ITAÚ MATRIZ"</formula>
    </cfRule>
    <cfRule type="cellIs" dxfId="1249" priority="4181" operator="equal">
      <formula>"ITAÚ"</formula>
    </cfRule>
    <cfRule type="cellIs" dxfId="1248" priority="4182" operator="equal">
      <formula>"ITAÚ"</formula>
    </cfRule>
    <cfRule type="cellIs" dxfId="1247" priority="4241" operator="between">
      <formula>"ITAÚ FILIAL"</formula>
      <formula>"ITAÚ FILIAL"</formula>
    </cfRule>
    <cfRule type="cellIs" dxfId="1246" priority="4183" operator="equal">
      <formula>"ITAÚ MATRIZ"</formula>
    </cfRule>
    <cfRule type="cellIs" dxfId="1245" priority="4184" operator="between">
      <formula>"SAFRA"</formula>
      <formula>"SAFRA"</formula>
    </cfRule>
    <cfRule type="cellIs" dxfId="1244" priority="4185" operator="between">
      <formula>"SAFRA"</formula>
      <formula>"SAFRA"</formula>
    </cfRule>
    <cfRule type="cellIs" dxfId="1243" priority="4186" operator="between">
      <formula>"DAYCOVAL"</formula>
      <formula>"DAYCOVAL"</formula>
    </cfRule>
    <cfRule type="cellIs" dxfId="1242" priority="4187" operator="between">
      <formula>"ITAÚ FILIAL"</formula>
      <formula>"ITAÚ FILIAL"</formula>
    </cfRule>
    <cfRule type="cellIs" dxfId="1241" priority="4188" operator="between">
      <formula>"ITAÚ FILIAL"</formula>
      <formula>"ITAÚ FILIAL"</formula>
    </cfRule>
    <cfRule type="cellIs" dxfId="1240" priority="4189" operator="between">
      <formula>"ITAÚ MATRIZ"</formula>
      <formula>"ITAÚ MATRIZ"</formula>
    </cfRule>
    <cfRule type="cellIs" dxfId="1239" priority="4190" operator="equal">
      <formula>"ITAÚ"</formula>
    </cfRule>
    <cfRule type="cellIs" dxfId="1238" priority="4191" operator="equal">
      <formula>"ITAÚ"</formula>
    </cfRule>
    <cfRule type="cellIs" dxfId="1237" priority="4192" operator="equal">
      <formula>"ITAÚ MATRIZ"</formula>
    </cfRule>
    <cfRule type="cellIs" dxfId="1236" priority="4193" operator="between">
      <formula>"SAFRA"</formula>
      <formula>"SAFRA"</formula>
    </cfRule>
    <cfRule type="cellIs" dxfId="1235" priority="4194" operator="between">
      <formula>"SAFRA"</formula>
      <formula>"SAFRA"</formula>
    </cfRule>
    <cfRule type="cellIs" dxfId="1234" priority="4195" operator="between">
      <formula>"DAYCOVAL"</formula>
      <formula>"DAYCOVAL"</formula>
    </cfRule>
    <cfRule type="cellIs" dxfId="1233" priority="4196" operator="between">
      <formula>"ITAÚ FILIAL"</formula>
      <formula>"ITAÚ FILIAL"</formula>
    </cfRule>
    <cfRule type="cellIs" dxfId="1232" priority="4197" operator="between">
      <formula>"ITAÚ FILIAL"</formula>
      <formula>"ITAÚ FILIAL"</formula>
    </cfRule>
    <cfRule type="cellIs" dxfId="1231" priority="4198" operator="between">
      <formula>"ITAÚ MATRIZ"</formula>
      <formula>"ITAÚ MATRIZ"</formula>
    </cfRule>
    <cfRule type="cellIs" dxfId="1230" priority="4199" operator="equal">
      <formula>"ITAÚ"</formula>
    </cfRule>
    <cfRule type="cellIs" dxfId="1229" priority="4200" operator="equal">
      <formula>"ITAÚ"</formula>
    </cfRule>
    <cfRule type="cellIs" dxfId="1228" priority="4201" operator="equal">
      <formula>"ITAÚ MATRIZ"</formula>
    </cfRule>
    <cfRule type="cellIs" dxfId="1227" priority="4202" operator="between">
      <formula>"SAFRA"</formula>
      <formula>"SAFRA"</formula>
    </cfRule>
    <cfRule type="cellIs" dxfId="1226" priority="4203" operator="between">
      <formula>"SAFRA"</formula>
      <formula>"SAFRA"</formula>
    </cfRule>
    <cfRule type="cellIs" dxfId="1225" priority="4204" operator="between">
      <formula>"DAYCOVAL"</formula>
      <formula>"DAYCOVAL"</formula>
    </cfRule>
    <cfRule type="cellIs" dxfId="1224" priority="4205" operator="between">
      <formula>"ITAÚ FILIAL"</formula>
      <formula>"ITAÚ FILIAL"</formula>
    </cfRule>
    <cfRule type="cellIs" dxfId="1223" priority="4206" operator="between">
      <formula>"ITAÚ FILIAL"</formula>
      <formula>"ITAÚ FILIAL"</formula>
    </cfRule>
    <cfRule type="cellIs" dxfId="1222" priority="4207" operator="between">
      <formula>"ITAÚ MATRIZ"</formula>
      <formula>"ITAÚ MATRIZ"</formula>
    </cfRule>
    <cfRule type="cellIs" dxfId="1221" priority="4208" operator="equal">
      <formula>"ITAÚ"</formula>
    </cfRule>
    <cfRule type="cellIs" dxfId="1220" priority="4209" operator="equal">
      <formula>"ITAÚ"</formula>
    </cfRule>
    <cfRule type="cellIs" dxfId="1219" priority="4210" operator="equal">
      <formula>"ITAÚ MATRIZ"</formula>
    </cfRule>
    <cfRule type="cellIs" dxfId="1218" priority="4211" operator="between">
      <formula>"SAFRA"</formula>
      <formula>"SAFRA"</formula>
    </cfRule>
    <cfRule type="cellIs" dxfId="1217" priority="4212" operator="between">
      <formula>"SAFRA"</formula>
      <formula>"SAFRA"</formula>
    </cfRule>
    <cfRule type="cellIs" dxfId="1216" priority="4213" operator="between">
      <formula>"DAYCOVAL"</formula>
      <formula>"DAYCOVAL"</formula>
    </cfRule>
    <cfRule type="cellIs" dxfId="1215" priority="4214" operator="between">
      <formula>"ITAÚ FILIAL"</formula>
      <formula>"ITAÚ FILIAL"</formula>
    </cfRule>
    <cfRule type="cellIs" dxfId="1214" priority="4215" operator="between">
      <formula>"ITAÚ FILIAL"</formula>
      <formula>"ITAÚ FILIAL"</formula>
    </cfRule>
    <cfRule type="cellIs" dxfId="1213" priority="4216" operator="between">
      <formula>"ITAÚ MATRIZ"</formula>
      <formula>"ITAÚ MATRIZ"</formula>
    </cfRule>
    <cfRule type="cellIs" dxfId="1212" priority="4217" operator="equal">
      <formula>"ITAÚ"</formula>
    </cfRule>
    <cfRule type="cellIs" dxfId="1211" priority="4218" operator="equal">
      <formula>"ITAÚ"</formula>
    </cfRule>
    <cfRule type="cellIs" dxfId="1210" priority="4219" operator="between">
      <formula>"SAFRA"</formula>
      <formula>"SAFRA"</formula>
    </cfRule>
    <cfRule type="cellIs" dxfId="1209" priority="4220" operator="between">
      <formula>"SAFRA"</formula>
      <formula>"SAFRA"</formula>
    </cfRule>
    <cfRule type="cellIs" dxfId="1208" priority="4221" operator="between">
      <formula>"DAYCOVAL"</formula>
      <formula>"DAYCOVAL"</formula>
    </cfRule>
    <cfRule type="cellIs" dxfId="1207" priority="4222" operator="between">
      <formula>"ITAÚ FILIAL"</formula>
      <formula>"ITAÚ FILIAL"</formula>
    </cfRule>
    <cfRule type="cellIs" dxfId="1206" priority="4223" operator="between">
      <formula>"ITAÚ FILIAL"</formula>
      <formula>"ITAÚ FILIAL"</formula>
    </cfRule>
    <cfRule type="cellIs" dxfId="1205" priority="4224" operator="equal">
      <formula>"ITAÚ"</formula>
    </cfRule>
    <cfRule type="cellIs" dxfId="1204" priority="4225" operator="equal">
      <formula>"ITAÚ MATRIZ"</formula>
    </cfRule>
    <cfRule type="cellIs" dxfId="1203" priority="4242" operator="equal">
      <formula>"ITAÚ"</formula>
    </cfRule>
    <cfRule type="cellIs" dxfId="1202" priority="4233" operator="between">
      <formula>"ITAÚ FILIAL"</formula>
      <formula>"ITAÚ FILIAL"</formula>
    </cfRule>
    <cfRule type="cellIs" dxfId="1201" priority="4232" operator="between">
      <formula>"ITAÚ FILIAL"</formula>
      <formula>"ITAÚ FILIAL"</formula>
    </cfRule>
    <cfRule type="cellIs" dxfId="1200" priority="4243" operator="equal">
      <formula>"ITAÚ MATRIZ"</formula>
    </cfRule>
    <cfRule type="cellIs" dxfId="1199" priority="4246" operator="between">
      <formula>"SAFRA"</formula>
      <formula>"SAFRA"</formula>
    </cfRule>
    <cfRule type="cellIs" dxfId="1198" priority="4226" operator="between">
      <formula>"ITAÚ MATRIZ"</formula>
      <formula>"ITAÚ MATRIZ"</formula>
    </cfRule>
    <cfRule type="cellIs" dxfId="1197" priority="4227" operator="equal">
      <formula>"ITAÚ"</formula>
    </cfRule>
    <cfRule type="cellIs" dxfId="1196" priority="4228" operator="equal">
      <formula>"ITAÚ MATRIZ"</formula>
    </cfRule>
    <cfRule type="cellIs" dxfId="1195" priority="4247" operator="between">
      <formula>"SAFRA"</formula>
      <formula>"SAFRA"</formula>
    </cfRule>
    <cfRule type="cellIs" dxfId="1194" priority="4229" operator="between">
      <formula>"SAFRA"</formula>
      <formula>"SAFRA"</formula>
    </cfRule>
    <cfRule type="cellIs" dxfId="1193" priority="4248" operator="between">
      <formula>"DAYCOVAL"</formula>
      <formula>"DAYCOVAL"</formula>
    </cfRule>
    <cfRule type="cellIs" dxfId="1192" priority="4249" operator="between">
      <formula>"ITAÚ FILIAL"</formula>
      <formula>"ITAÚ FILIAL"</formula>
    </cfRule>
    <cfRule type="cellIs" dxfId="1191" priority="4250" operator="between">
      <formula>"ITAÚ FILIAL"</formula>
      <formula>"ITAÚ FILIAL"</formula>
    </cfRule>
    <cfRule type="cellIs" dxfId="1190" priority="4251" operator="between">
      <formula>"ITAÚ MATRIZ"</formula>
      <formula>"ITAÚ MATRIZ"</formula>
    </cfRule>
    <cfRule type="cellIs" dxfId="1189" priority="4253" operator="equal">
      <formula>"ITAÚ"</formula>
    </cfRule>
    <cfRule type="cellIs" dxfId="1188" priority="4258" operator="between">
      <formula>"ITAÚ FILIAL"</formula>
      <formula>"ITAÚ FILIAL"</formula>
    </cfRule>
    <cfRule type="cellIs" dxfId="1187" priority="4259" operator="between">
      <formula>"ITAÚ FILIAL"</formula>
      <formula>"ITAÚ FILIAL"</formula>
    </cfRule>
    <cfRule type="cellIs" dxfId="1186" priority="4260" operator="between">
      <formula>"ITAÚ MATRIZ"</formula>
      <formula>"ITAÚ MATRIZ"</formula>
    </cfRule>
    <cfRule type="cellIs" dxfId="1185" priority="4231" operator="between">
      <formula>"DAYCOVAL"</formula>
      <formula>"DAYCOVAL"</formula>
    </cfRule>
    <cfRule type="cellIs" dxfId="1184" priority="4230" operator="between">
      <formula>"SAFRA"</formula>
      <formula>"SAFRA"</formula>
    </cfRule>
    <cfRule type="cellIs" dxfId="1183" priority="4236" operator="equal">
      <formula>"ITAÚ"</formula>
    </cfRule>
    <cfRule type="cellIs" dxfId="1182" priority="4245" operator="equal">
      <formula>"ITAÚ MATRIZ"</formula>
    </cfRule>
  </conditionalFormatting>
  <conditionalFormatting sqref="I368:I382">
    <cfRule type="cellIs" dxfId="1181" priority="4385" operator="equal">
      <formula>"ITAÚ MATRIZ"</formula>
    </cfRule>
    <cfRule type="cellIs" dxfId="1180" priority="4393" operator="equal">
      <formula>"ITAÚ"</formula>
    </cfRule>
    <cfRule type="cellIs" dxfId="1179" priority="4392" operator="equal">
      <formula>"ITAÚ"</formula>
    </cfRule>
    <cfRule type="cellIs" dxfId="1178" priority="4388" operator="between">
      <formula>"DAYCOVAL"</formula>
      <formula>"DAYCOVAL"</formula>
    </cfRule>
    <cfRule type="cellIs" dxfId="1177" priority="4387" operator="between">
      <formula>"SAFRA"</formula>
      <formula>"SAFRA"</formula>
    </cfRule>
    <cfRule type="cellIs" dxfId="1176" priority="4386" operator="between">
      <formula>"SAFRA"</formula>
      <formula>"SAFRA"</formula>
    </cfRule>
  </conditionalFormatting>
  <conditionalFormatting sqref="I382">
    <cfRule type="cellIs" dxfId="1175" priority="4374" operator="equal">
      <formula>"ITAÚ MATRIZ"</formula>
    </cfRule>
    <cfRule type="cellIs" dxfId="1174" priority="4367" operator="equal">
      <formula>"ITAÚ"</formula>
    </cfRule>
    <cfRule type="cellIs" dxfId="1173" priority="4366" operator="equal">
      <formula>"ITAÚ"</formula>
    </cfRule>
    <cfRule type="cellIs" dxfId="1172" priority="4365" operator="between">
      <formula>"ITAÚ MATRIZ"</formula>
      <formula>"ITAÚ MATRIZ"</formula>
    </cfRule>
    <cfRule type="cellIs" dxfId="1171" priority="4364" operator="between">
      <formula>"ITAÚ FILIAL"</formula>
      <formula>"ITAÚ FILIAL"</formula>
    </cfRule>
    <cfRule type="cellIs" dxfId="1170" priority="4363" operator="between">
      <formula>"ITAÚ FILIAL"</formula>
      <formula>"ITAÚ FILIAL"</formula>
    </cfRule>
    <cfRule type="cellIs" dxfId="1169" priority="4362" operator="between">
      <formula>"DAYCOVAL"</formula>
      <formula>"DAYCOVAL"</formula>
    </cfRule>
    <cfRule type="cellIs" dxfId="1168" priority="4361" operator="between">
      <formula>"SAFRA"</formula>
      <formula>"SAFRA"</formula>
    </cfRule>
    <cfRule type="cellIs" dxfId="1167" priority="4360" operator="between">
      <formula>"SAFRA"</formula>
      <formula>"SAFRA"</formula>
    </cfRule>
    <cfRule type="cellIs" dxfId="1166" priority="4359" operator="equal">
      <formula>"ITAÚ MATRIZ"</formula>
    </cfRule>
    <cfRule type="cellIs" dxfId="1165" priority="4358" operator="equal">
      <formula>"ITAÚ"</formula>
    </cfRule>
    <cfRule type="cellIs" dxfId="1164" priority="4357" operator="between">
      <formula>"ITAÚ MATRIZ"</formula>
      <formula>"ITAÚ MATRIZ"</formula>
    </cfRule>
    <cfRule type="cellIs" dxfId="1163" priority="4356" operator="equal">
      <formula>"ITAÚ MATRIZ"</formula>
    </cfRule>
    <cfRule type="cellIs" dxfId="1162" priority="4355" operator="equal">
      <formula>"ITAÚ"</formula>
    </cfRule>
    <cfRule type="cellIs" dxfId="1161" priority="4354" operator="between">
      <formula>"ITAÚ FILIAL"</formula>
      <formula>"ITAÚ FILIAL"</formula>
    </cfRule>
    <cfRule type="cellIs" dxfId="1160" priority="4353" operator="between">
      <formula>"ITAÚ FILIAL"</formula>
      <formula>"ITAÚ FILIAL"</formula>
    </cfRule>
    <cfRule type="cellIs" dxfId="1159" priority="4352" operator="between">
      <formula>"DAYCOVAL"</formula>
      <formula>"DAYCOVAL"</formula>
    </cfRule>
    <cfRule type="cellIs" dxfId="1158" priority="4351" operator="between">
      <formula>"SAFRA"</formula>
      <formula>"SAFRA"</formula>
    </cfRule>
    <cfRule type="cellIs" dxfId="1157" priority="4350" operator="between">
      <formula>"SAFRA"</formula>
      <formula>"SAFRA"</formula>
    </cfRule>
    <cfRule type="cellIs" dxfId="1156" priority="4349" operator="equal">
      <formula>"ITAÚ"</formula>
    </cfRule>
    <cfRule type="cellIs" dxfId="1155" priority="4348" operator="equal">
      <formula>"ITAÚ"</formula>
    </cfRule>
    <cfRule type="cellIs" dxfId="1154" priority="4347" operator="between">
      <formula>"ITAÚ MATRIZ"</formula>
      <formula>"ITAÚ MATRIZ"</formula>
    </cfRule>
    <cfRule type="cellIs" dxfId="1153" priority="4346" operator="between">
      <formula>"ITAÚ FILIAL"</formula>
      <formula>"ITAÚ FILIAL"</formula>
    </cfRule>
    <cfRule type="cellIs" dxfId="1152" priority="4345" operator="between">
      <formula>"ITAÚ FILIAL"</formula>
      <formula>"ITAÚ FILIAL"</formula>
    </cfRule>
    <cfRule type="cellIs" dxfId="1151" priority="4344" operator="between">
      <formula>"DAYCOVAL"</formula>
      <formula>"DAYCOVAL"</formula>
    </cfRule>
    <cfRule type="cellIs" dxfId="1150" priority="4343" operator="between">
      <formula>"SAFRA"</formula>
      <formula>"SAFRA"</formula>
    </cfRule>
    <cfRule type="cellIs" dxfId="1149" priority="4342" operator="between">
      <formula>"SAFRA"</formula>
      <formula>"SAFRA"</formula>
    </cfRule>
    <cfRule type="cellIs" dxfId="1148" priority="4341" operator="equal">
      <formula>"ITAÚ MATRIZ"</formula>
    </cfRule>
    <cfRule type="cellIs" dxfId="1147" priority="4340" operator="equal">
      <formula>"ITAÚ"</formula>
    </cfRule>
    <cfRule type="cellIs" dxfId="1146" priority="4339" operator="equal">
      <formula>"ITAÚ"</formula>
    </cfRule>
    <cfRule type="cellIs" dxfId="1145" priority="4338" operator="between">
      <formula>"ITAÚ MATRIZ"</formula>
      <formula>"ITAÚ MATRIZ"</formula>
    </cfRule>
    <cfRule type="cellIs" dxfId="1144" priority="4337" operator="between">
      <formula>"ITAÚ FILIAL"</formula>
      <formula>"ITAÚ FILIAL"</formula>
    </cfRule>
    <cfRule type="cellIs" dxfId="1143" priority="4336" operator="between">
      <formula>"ITAÚ FILIAL"</formula>
      <formula>"ITAÚ FILIAL"</formula>
    </cfRule>
    <cfRule type="cellIs" dxfId="1142" priority="4335" operator="between">
      <formula>"DAYCOVAL"</formula>
      <formula>"DAYCOVAL"</formula>
    </cfRule>
    <cfRule type="cellIs" dxfId="1141" priority="4334" operator="between">
      <formula>"SAFRA"</formula>
      <formula>"SAFRA"</formula>
    </cfRule>
    <cfRule type="cellIs" dxfId="1140" priority="4333" operator="between">
      <formula>"SAFRA"</formula>
      <formula>"SAFRA"</formula>
    </cfRule>
    <cfRule type="cellIs" dxfId="1139" priority="4332" operator="equal">
      <formula>"ITAÚ MATRIZ"</formula>
    </cfRule>
    <cfRule type="cellIs" dxfId="1138" priority="4331" operator="equal">
      <formula>"ITAÚ"</formula>
    </cfRule>
    <cfRule type="cellIs" dxfId="1137" priority="4330" operator="equal">
      <formula>"ITAÚ"</formula>
    </cfRule>
    <cfRule type="cellIs" dxfId="1136" priority="4329" operator="between">
      <formula>"ITAÚ MATRIZ"</formula>
      <formula>"ITAÚ MATRIZ"</formula>
    </cfRule>
    <cfRule type="cellIs" dxfId="1135" priority="4328" operator="between">
      <formula>"ITAÚ FILIAL"</formula>
      <formula>"ITAÚ FILIAL"</formula>
    </cfRule>
    <cfRule type="cellIs" dxfId="1134" priority="4327" operator="between">
      <formula>"ITAÚ FILIAL"</formula>
      <formula>"ITAÚ FILIAL"</formula>
    </cfRule>
    <cfRule type="cellIs" dxfId="1133" priority="4326" operator="between">
      <formula>"DAYCOVAL"</formula>
      <formula>"DAYCOVAL"</formula>
    </cfRule>
    <cfRule type="cellIs" dxfId="1132" priority="4325" operator="between">
      <formula>"SAFRA"</formula>
      <formula>"SAFRA"</formula>
    </cfRule>
    <cfRule type="cellIs" dxfId="1131" priority="4324" operator="between">
      <formula>"SAFRA"</formula>
      <formula>"SAFRA"</formula>
    </cfRule>
    <cfRule type="cellIs" dxfId="1130" priority="4323" operator="equal">
      <formula>"ITAÚ MATRIZ"</formula>
    </cfRule>
    <cfRule type="cellIs" dxfId="1129" priority="4322" operator="equal">
      <formula>"ITAÚ"</formula>
    </cfRule>
    <cfRule type="cellIs" dxfId="1128" priority="4321" operator="equal">
      <formula>"ITAÚ"</formula>
    </cfRule>
    <cfRule type="cellIs" dxfId="1127" priority="4320" operator="between">
      <formula>"ITAÚ MATRIZ"</formula>
      <formula>"ITAÚ MATRIZ"</formula>
    </cfRule>
    <cfRule type="cellIs" dxfId="1126" priority="4319" operator="between">
      <formula>"ITAÚ FILIAL"</formula>
      <formula>"ITAÚ FILIAL"</formula>
    </cfRule>
    <cfRule type="cellIs" dxfId="1125" priority="4318" operator="between">
      <formula>"ITAÚ FILIAL"</formula>
      <formula>"ITAÚ FILIAL"</formula>
    </cfRule>
    <cfRule type="cellIs" dxfId="1124" priority="4317" operator="between">
      <formula>"DAYCOVAL"</formula>
      <formula>"DAYCOVAL"</formula>
    </cfRule>
    <cfRule type="cellIs" dxfId="1123" priority="4316" operator="between">
      <formula>"SAFRA"</formula>
      <formula>"SAFRA"</formula>
    </cfRule>
    <cfRule type="cellIs" dxfId="1122" priority="4315" operator="between">
      <formula>"SAFRA"</formula>
      <formula>"SAFRA"</formula>
    </cfRule>
    <cfRule type="cellIs" dxfId="1121" priority="4314" operator="equal">
      <formula>"ITAÚ MATRIZ"</formula>
    </cfRule>
    <cfRule type="cellIs" dxfId="1120" priority="4313" operator="equal">
      <formula>"ITAÚ"</formula>
    </cfRule>
    <cfRule type="cellIs" dxfId="1119" priority="4312" operator="equal">
      <formula>"ITAÚ"</formula>
    </cfRule>
    <cfRule type="cellIs" dxfId="1118" priority="4311" operator="between">
      <formula>"ITAÚ MATRIZ"</formula>
      <formula>"ITAÚ MATRIZ"</formula>
    </cfRule>
    <cfRule type="cellIs" dxfId="1117" priority="4310" operator="between">
      <formula>"ITAÚ FILIAL"</formula>
      <formula>"ITAÚ FILIAL"</formula>
    </cfRule>
    <cfRule type="cellIs" dxfId="1116" priority="4309" operator="between">
      <formula>"ITAÚ FILIAL"</formula>
      <formula>"ITAÚ FILIAL"</formula>
    </cfRule>
    <cfRule type="cellIs" dxfId="1115" priority="4308" operator="between">
      <formula>"DAYCOVAL"</formula>
      <formula>"DAYCOVAL"</formula>
    </cfRule>
    <cfRule type="cellIs" dxfId="1114" priority="4307" operator="between">
      <formula>"SAFRA"</formula>
      <formula>"SAFRA"</formula>
    </cfRule>
    <cfRule type="cellIs" dxfId="1113" priority="4306" operator="between">
      <formula>"SAFRA"</formula>
      <formula>"SAFRA"</formula>
    </cfRule>
    <cfRule type="cellIs" dxfId="1112" priority="4305" operator="equal">
      <formula>"ITAÚ MATRIZ"</formula>
    </cfRule>
    <cfRule type="cellIs" dxfId="1111" priority="4304" operator="equal">
      <formula>"ITAÚ"</formula>
    </cfRule>
    <cfRule type="cellIs" dxfId="1110" priority="4303" operator="between">
      <formula>"ITAÚ MATRIZ"</formula>
      <formula>"ITAÚ MATRIZ"</formula>
    </cfRule>
    <cfRule type="cellIs" dxfId="1109" priority="4302" operator="equal">
      <formula>"ITAÚ MATRIZ"</formula>
    </cfRule>
    <cfRule type="cellIs" dxfId="1108" priority="4301" operator="equal">
      <formula>"ITAÚ"</formula>
    </cfRule>
    <cfRule type="cellIs" dxfId="1107" priority="4300" operator="between">
      <formula>"ITAÚ FILIAL"</formula>
      <formula>"ITAÚ FILIAL"</formula>
    </cfRule>
    <cfRule type="cellIs" dxfId="1106" priority="4299" operator="between">
      <formula>"ITAÚ FILIAL"</formula>
      <formula>"ITAÚ FILIAL"</formula>
    </cfRule>
    <cfRule type="cellIs" dxfId="1105" priority="4298" operator="between">
      <formula>"DAYCOVAL"</formula>
      <formula>"DAYCOVAL"</formula>
    </cfRule>
    <cfRule type="cellIs" dxfId="1104" priority="4297" operator="between">
      <formula>"SAFRA"</formula>
      <formula>"SAFRA"</formula>
    </cfRule>
    <cfRule type="cellIs" dxfId="1103" priority="4296" operator="between">
      <formula>"SAFRA"</formula>
      <formula>"SAFRA"</formula>
    </cfRule>
    <cfRule type="cellIs" dxfId="1102" priority="4295" operator="equal">
      <formula>"ITAÚ"</formula>
    </cfRule>
    <cfRule type="cellIs" dxfId="1101" priority="4294" operator="equal">
      <formula>"ITAÚ"</formula>
    </cfRule>
    <cfRule type="cellIs" dxfId="1100" priority="4293" operator="between">
      <formula>"ITAÚ MATRIZ"</formula>
      <formula>"ITAÚ MATRIZ"</formula>
    </cfRule>
    <cfRule type="cellIs" dxfId="1099" priority="4292" operator="between">
      <formula>"ITAÚ FILIAL"</formula>
      <formula>"ITAÚ FILIAL"</formula>
    </cfRule>
    <cfRule type="cellIs" dxfId="1098" priority="4291" operator="between">
      <formula>"ITAÚ FILIAL"</formula>
      <formula>"ITAÚ FILIAL"</formula>
    </cfRule>
    <cfRule type="cellIs" dxfId="1097" priority="4290" operator="between">
      <formula>"DAYCOVAL"</formula>
      <formula>"DAYCOVAL"</formula>
    </cfRule>
    <cfRule type="cellIs" dxfId="1096" priority="4289" operator="between">
      <formula>"SAFRA"</formula>
      <formula>"SAFRA"</formula>
    </cfRule>
    <cfRule type="cellIs" dxfId="1095" priority="4288" operator="between">
      <formula>"SAFRA"</formula>
      <formula>"SAFRA"</formula>
    </cfRule>
    <cfRule type="cellIs" dxfId="1094" priority="4287" operator="equal">
      <formula>"ITAÚ MATRIZ"</formula>
    </cfRule>
    <cfRule type="cellIs" dxfId="1093" priority="4377" operator="between">
      <formula>"SAFRA"</formula>
      <formula>"SAFRA"</formula>
    </cfRule>
    <cfRule type="cellIs" dxfId="1092" priority="4378" operator="between">
      <formula>"SAFRA"</formula>
      <formula>"SAFRA"</formula>
    </cfRule>
    <cfRule type="cellIs" dxfId="1091" priority="4379" operator="between">
      <formula>"DAYCOVAL"</formula>
      <formula>"DAYCOVAL"</formula>
    </cfRule>
    <cfRule type="cellIs" dxfId="1090" priority="4380" operator="between">
      <formula>"ITAÚ FILIAL"</formula>
      <formula>"ITAÚ FILIAL"</formula>
    </cfRule>
    <cfRule type="cellIs" dxfId="1089" priority="4381" operator="between">
      <formula>"ITAÚ FILIAL"</formula>
      <formula>"ITAÚ FILIAL"</formula>
    </cfRule>
    <cfRule type="cellIs" dxfId="1088" priority="4382" operator="between">
      <formula>"ITAÚ MATRIZ"</formula>
      <formula>"ITAÚ MATRIZ"</formula>
    </cfRule>
    <cfRule type="cellIs" dxfId="1087" priority="4384" operator="equal">
      <formula>"ITAÚ"</formula>
    </cfRule>
    <cfRule type="cellIs" dxfId="1086" priority="4376" operator="equal">
      <formula>"ITAÚ MATRIZ"</formula>
    </cfRule>
    <cfRule type="cellIs" dxfId="1085" priority="4375" operator="between">
      <formula>"ITAÚ MATRIZ"</formula>
      <formula>"ITAÚ MATRIZ"</formula>
    </cfRule>
    <cfRule type="cellIs" dxfId="1084" priority="4370" operator="between">
      <formula>"DAYCOVAL"</formula>
      <formula>"DAYCOVAL"</formula>
    </cfRule>
    <cfRule type="cellIs" dxfId="1083" priority="4371" operator="between">
      <formula>"ITAÚ FILIAL"</formula>
      <formula>"ITAÚ FILIAL"</formula>
    </cfRule>
    <cfRule type="cellIs" dxfId="1082" priority="4389" operator="between">
      <formula>"ITAÚ FILIAL"</formula>
      <formula>"ITAÚ FILIAL"</formula>
    </cfRule>
    <cfRule type="cellIs" dxfId="1081" priority="4390" operator="between">
      <formula>"ITAÚ FILIAL"</formula>
      <formula>"ITAÚ FILIAL"</formula>
    </cfRule>
    <cfRule type="cellIs" dxfId="1080" priority="4391" operator="between">
      <formula>"ITAÚ MATRIZ"</formula>
      <formula>"ITAÚ MATRIZ"</formula>
    </cfRule>
    <cfRule type="cellIs" dxfId="1079" priority="4372" operator="between">
      <formula>"ITAÚ FILIAL"</formula>
      <formula>"ITAÚ FILIAL"</formula>
    </cfRule>
    <cfRule type="cellIs" dxfId="1078" priority="4373" operator="equal">
      <formula>"ITAÚ"</formula>
    </cfRule>
    <cfRule type="cellIs" dxfId="1077" priority="4368" operator="between">
      <formula>"SAFRA"</formula>
      <formula>"SAFRA"</formula>
    </cfRule>
    <cfRule type="cellIs" dxfId="1076" priority="4369" operator="between">
      <formula>"SAFRA"</formula>
      <formula>"SAFRA"</formula>
    </cfRule>
  </conditionalFormatting>
  <conditionalFormatting sqref="I383:I390">
    <cfRule type="cellIs" dxfId="1075" priority="4517" operator="between">
      <formula>"SAFRA"</formula>
      <formula>"SAFRA"</formula>
    </cfRule>
    <cfRule type="cellIs" dxfId="1074" priority="4516" operator="between">
      <formula>"SAFRA"</formula>
      <formula>"SAFRA"</formula>
    </cfRule>
    <cfRule type="cellIs" dxfId="1073" priority="4515" operator="equal">
      <formula>"ITAÚ MATRIZ"</formula>
    </cfRule>
    <cfRule type="cellIs" dxfId="1072" priority="4518" operator="between">
      <formula>"DAYCOVAL"</formula>
      <formula>"DAYCOVAL"</formula>
    </cfRule>
    <cfRule type="cellIs" dxfId="1071" priority="4522" operator="equal">
      <formula>"ITAÚ"</formula>
    </cfRule>
    <cfRule type="cellIs" dxfId="1070" priority="4523" operator="equal">
      <formula>"ITAÚ"</formula>
    </cfRule>
  </conditionalFormatting>
  <conditionalFormatting sqref="I390">
    <cfRule type="cellIs" dxfId="1069" priority="4521" operator="between">
      <formula>"ITAÚ MATRIZ"</formula>
      <formula>"ITAÚ MATRIZ"</formula>
    </cfRule>
    <cfRule type="cellIs" dxfId="1068" priority="4473" operator="between">
      <formula>"SAFRA"</formula>
      <formula>"SAFRA"</formula>
    </cfRule>
    <cfRule type="cellIs" dxfId="1067" priority="4479" operator="equal">
      <formula>"ITAÚ"</formula>
    </cfRule>
    <cfRule type="cellIs" dxfId="1066" priority="4481" operator="between">
      <formula>"SAFRA"</formula>
      <formula>"SAFRA"</formula>
    </cfRule>
    <cfRule type="cellIs" dxfId="1065" priority="4482" operator="between">
      <formula>"DAYCOVAL"</formula>
      <formula>"DAYCOVAL"</formula>
    </cfRule>
    <cfRule type="cellIs" dxfId="1064" priority="4478" operator="equal">
      <formula>"ITAÚ"</formula>
    </cfRule>
    <cfRule type="cellIs" dxfId="1063" priority="4520" operator="between">
      <formula>"ITAÚ FILIAL"</formula>
      <formula>"ITAÚ FILIAL"</formula>
    </cfRule>
    <cfRule type="cellIs" dxfId="1062" priority="4519" operator="between">
      <formula>"ITAÚ FILIAL"</formula>
      <formula>"ITAÚ FILIAL"</formula>
    </cfRule>
    <cfRule type="cellIs" dxfId="1061" priority="4514" operator="equal">
      <formula>"ITAÚ"</formula>
    </cfRule>
    <cfRule type="cellIs" dxfId="1060" priority="4477" operator="between">
      <formula>"ITAÚ MATRIZ"</formula>
      <formula>"ITAÚ MATRIZ"</formula>
    </cfRule>
    <cfRule type="cellIs" dxfId="1059" priority="4476" operator="between">
      <formula>"ITAÚ FILIAL"</formula>
      <formula>"ITAÚ FILIAL"</formula>
    </cfRule>
    <cfRule type="cellIs" dxfId="1058" priority="4475" operator="between">
      <formula>"ITAÚ FILIAL"</formula>
      <formula>"ITAÚ FILIAL"</formula>
    </cfRule>
    <cfRule type="cellIs" dxfId="1057" priority="4474" operator="between">
      <formula>"DAYCOVAL"</formula>
      <formula>"DAYCOVAL"</formula>
    </cfRule>
    <cfRule type="cellIs" dxfId="1056" priority="4512" operator="between">
      <formula>"ITAÚ MATRIZ"</formula>
      <formula>"ITAÚ MATRIZ"</formula>
    </cfRule>
    <cfRule type="cellIs" dxfId="1055" priority="4511" operator="between">
      <formula>"ITAÚ FILIAL"</formula>
      <formula>"ITAÚ FILIAL"</formula>
    </cfRule>
    <cfRule type="cellIs" dxfId="1054" priority="4510" operator="between">
      <formula>"ITAÚ FILIAL"</formula>
      <formula>"ITAÚ FILIAL"</formula>
    </cfRule>
    <cfRule type="cellIs" dxfId="1053" priority="4509" operator="between">
      <formula>"DAYCOVAL"</formula>
      <formula>"DAYCOVAL"</formula>
    </cfRule>
    <cfRule type="cellIs" dxfId="1052" priority="4508" operator="between">
      <formula>"SAFRA"</formula>
      <formula>"SAFRA"</formula>
    </cfRule>
    <cfRule type="cellIs" dxfId="1051" priority="4507" operator="between">
      <formula>"SAFRA"</formula>
      <formula>"SAFRA"</formula>
    </cfRule>
    <cfRule type="cellIs" dxfId="1050" priority="4506" operator="equal">
      <formula>"ITAÚ MATRIZ"</formula>
    </cfRule>
    <cfRule type="cellIs" dxfId="1049" priority="4505" operator="between">
      <formula>"ITAÚ MATRIZ"</formula>
      <formula>"ITAÚ MATRIZ"</formula>
    </cfRule>
    <cfRule type="cellIs" dxfId="1048" priority="4504" operator="equal">
      <formula>"ITAÚ MATRIZ"</formula>
    </cfRule>
    <cfRule type="cellIs" dxfId="1047" priority="4503" operator="equal">
      <formula>"ITAÚ"</formula>
    </cfRule>
    <cfRule type="cellIs" dxfId="1046" priority="4502" operator="between">
      <formula>"ITAÚ FILIAL"</formula>
      <formula>"ITAÚ FILIAL"</formula>
    </cfRule>
    <cfRule type="cellIs" dxfId="1045" priority="4501" operator="between">
      <formula>"ITAÚ FILIAL"</formula>
      <formula>"ITAÚ FILIAL"</formula>
    </cfRule>
    <cfRule type="cellIs" dxfId="1044" priority="4500" operator="between">
      <formula>"DAYCOVAL"</formula>
      <formula>"DAYCOVAL"</formula>
    </cfRule>
    <cfRule type="cellIs" dxfId="1043" priority="4499" operator="between">
      <formula>"SAFRA"</formula>
      <formula>"SAFRA"</formula>
    </cfRule>
    <cfRule type="cellIs" dxfId="1042" priority="4498" operator="between">
      <formula>"SAFRA"</formula>
      <formula>"SAFRA"</formula>
    </cfRule>
    <cfRule type="cellIs" dxfId="1041" priority="4497" operator="equal">
      <formula>"ITAÚ"</formula>
    </cfRule>
    <cfRule type="cellIs" dxfId="1040" priority="4496" operator="equal">
      <formula>"ITAÚ"</formula>
    </cfRule>
    <cfRule type="cellIs" dxfId="1039" priority="4495" operator="between">
      <formula>"ITAÚ MATRIZ"</formula>
      <formula>"ITAÚ MATRIZ"</formula>
    </cfRule>
    <cfRule type="cellIs" dxfId="1038" priority="4494" operator="between">
      <formula>"ITAÚ FILIAL"</formula>
      <formula>"ITAÚ FILIAL"</formula>
    </cfRule>
    <cfRule type="cellIs" dxfId="1037" priority="4493" operator="between">
      <formula>"ITAÚ FILIAL"</formula>
      <formula>"ITAÚ FILIAL"</formula>
    </cfRule>
    <cfRule type="cellIs" dxfId="1036" priority="4492" operator="between">
      <formula>"DAYCOVAL"</formula>
      <formula>"DAYCOVAL"</formula>
    </cfRule>
    <cfRule type="cellIs" dxfId="1035" priority="4491" operator="between">
      <formula>"SAFRA"</formula>
      <formula>"SAFRA"</formula>
    </cfRule>
    <cfRule type="cellIs" dxfId="1034" priority="4490" operator="between">
      <formula>"SAFRA"</formula>
      <formula>"SAFRA"</formula>
    </cfRule>
    <cfRule type="cellIs" dxfId="1033" priority="4489" operator="equal">
      <formula>"ITAÚ MATRIZ"</formula>
    </cfRule>
    <cfRule type="cellIs" dxfId="1032" priority="4488" operator="equal">
      <formula>"ITAÚ"</formula>
    </cfRule>
    <cfRule type="cellIs" dxfId="1031" priority="4487" operator="between">
      <formula>"ITAÚ MATRIZ"</formula>
      <formula>"ITAÚ MATRIZ"</formula>
    </cfRule>
    <cfRule type="cellIs" dxfId="1030" priority="4486" operator="equal">
      <formula>"ITAÚ MATRIZ"</formula>
    </cfRule>
    <cfRule type="cellIs" dxfId="1029" priority="4485" operator="equal">
      <formula>"ITAÚ"</formula>
    </cfRule>
    <cfRule type="cellIs" dxfId="1028" priority="4484" operator="between">
      <formula>"ITAÚ FILIAL"</formula>
      <formula>"ITAÚ FILIAL"</formula>
    </cfRule>
    <cfRule type="cellIs" dxfId="1027" priority="4483" operator="between">
      <formula>"ITAÚ FILIAL"</formula>
      <formula>"ITAÚ FILIAL"</formula>
    </cfRule>
    <cfRule type="cellIs" dxfId="1026" priority="4417" operator="equal">
      <formula>"ITAÚ MATRIZ"</formula>
    </cfRule>
    <cfRule type="cellIs" dxfId="1025" priority="4418" operator="between">
      <formula>"SAFRA"</formula>
      <formula>"SAFRA"</formula>
    </cfRule>
    <cfRule type="cellIs" dxfId="1024" priority="4419" operator="between">
      <formula>"SAFRA"</formula>
      <formula>"SAFRA"</formula>
    </cfRule>
    <cfRule type="cellIs" dxfId="1023" priority="4420" operator="between">
      <formula>"DAYCOVAL"</formula>
      <formula>"DAYCOVAL"</formula>
    </cfRule>
    <cfRule type="cellIs" dxfId="1022" priority="4421" operator="between">
      <formula>"ITAÚ FILIAL"</formula>
      <formula>"ITAÚ FILIAL"</formula>
    </cfRule>
    <cfRule type="cellIs" dxfId="1021" priority="4422" operator="between">
      <formula>"ITAÚ FILIAL"</formula>
      <formula>"ITAÚ FILIAL"</formula>
    </cfRule>
    <cfRule type="cellIs" dxfId="1020" priority="4423" operator="between">
      <formula>"ITAÚ MATRIZ"</formula>
      <formula>"ITAÚ MATRIZ"</formula>
    </cfRule>
    <cfRule type="cellIs" dxfId="1019" priority="4424" operator="equal">
      <formula>"ITAÚ"</formula>
    </cfRule>
    <cfRule type="cellIs" dxfId="1018" priority="4425" operator="equal">
      <formula>"ITAÚ"</formula>
    </cfRule>
    <cfRule type="cellIs" dxfId="1017" priority="4426" operator="between">
      <formula>"SAFRA"</formula>
      <formula>"SAFRA"</formula>
    </cfRule>
    <cfRule type="cellIs" dxfId="1016" priority="4427" operator="between">
      <formula>"SAFRA"</formula>
      <formula>"SAFRA"</formula>
    </cfRule>
    <cfRule type="cellIs" dxfId="1015" priority="4428" operator="between">
      <formula>"DAYCOVAL"</formula>
      <formula>"DAYCOVAL"</formula>
    </cfRule>
    <cfRule type="cellIs" dxfId="1014" priority="4429" operator="between">
      <formula>"ITAÚ FILIAL"</formula>
      <formula>"ITAÚ FILIAL"</formula>
    </cfRule>
    <cfRule type="cellIs" dxfId="1013" priority="4430" operator="between">
      <formula>"ITAÚ FILIAL"</formula>
      <formula>"ITAÚ FILIAL"</formula>
    </cfRule>
    <cfRule type="cellIs" dxfId="1012" priority="4431" operator="equal">
      <formula>"ITAÚ"</formula>
    </cfRule>
    <cfRule type="cellIs" dxfId="1011" priority="4432" operator="equal">
      <formula>"ITAÚ MATRIZ"</formula>
    </cfRule>
    <cfRule type="cellIs" dxfId="1010" priority="4433" operator="between">
      <formula>"ITAÚ MATRIZ"</formula>
      <formula>"ITAÚ MATRIZ"</formula>
    </cfRule>
    <cfRule type="cellIs" dxfId="1009" priority="4434" operator="equal">
      <formula>"ITAÚ"</formula>
    </cfRule>
    <cfRule type="cellIs" dxfId="1008" priority="4435" operator="equal">
      <formula>"ITAÚ MATRIZ"</formula>
    </cfRule>
    <cfRule type="cellIs" dxfId="1007" priority="4436" operator="between">
      <formula>"SAFRA"</formula>
      <formula>"SAFRA"</formula>
    </cfRule>
    <cfRule type="cellIs" dxfId="1006" priority="4437" operator="between">
      <formula>"SAFRA"</formula>
      <formula>"SAFRA"</formula>
    </cfRule>
    <cfRule type="cellIs" dxfId="1005" priority="4438" operator="between">
      <formula>"DAYCOVAL"</formula>
      <formula>"DAYCOVAL"</formula>
    </cfRule>
    <cfRule type="cellIs" dxfId="1004" priority="4439" operator="between">
      <formula>"ITAÚ FILIAL"</formula>
      <formula>"ITAÚ FILIAL"</formula>
    </cfRule>
    <cfRule type="cellIs" dxfId="1003" priority="4440" operator="between">
      <formula>"ITAÚ FILIAL"</formula>
      <formula>"ITAÚ FILIAL"</formula>
    </cfRule>
    <cfRule type="cellIs" dxfId="1002" priority="4441" operator="between">
      <formula>"ITAÚ MATRIZ"</formula>
      <formula>"ITAÚ MATRIZ"</formula>
    </cfRule>
    <cfRule type="cellIs" dxfId="1001" priority="4442" operator="equal">
      <formula>"ITAÚ"</formula>
    </cfRule>
    <cfRule type="cellIs" dxfId="1000" priority="4443" operator="equal">
      <formula>"ITAÚ"</formula>
    </cfRule>
    <cfRule type="cellIs" dxfId="999" priority="4444" operator="equal">
      <formula>"ITAÚ MATRIZ"</formula>
    </cfRule>
    <cfRule type="cellIs" dxfId="998" priority="4445" operator="between">
      <formula>"SAFRA"</formula>
      <formula>"SAFRA"</formula>
    </cfRule>
    <cfRule type="cellIs" dxfId="997" priority="4446" operator="between">
      <formula>"SAFRA"</formula>
      <formula>"SAFRA"</formula>
    </cfRule>
    <cfRule type="cellIs" dxfId="996" priority="4447" operator="between">
      <formula>"DAYCOVAL"</formula>
      <formula>"DAYCOVAL"</formula>
    </cfRule>
    <cfRule type="cellIs" dxfId="995" priority="4448" operator="between">
      <formula>"ITAÚ FILIAL"</formula>
      <formula>"ITAÚ FILIAL"</formula>
    </cfRule>
    <cfRule type="cellIs" dxfId="994" priority="4449" operator="between">
      <formula>"ITAÚ FILIAL"</formula>
      <formula>"ITAÚ FILIAL"</formula>
    </cfRule>
    <cfRule type="cellIs" dxfId="993" priority="4450" operator="between">
      <formula>"ITAÚ MATRIZ"</formula>
      <formula>"ITAÚ MATRIZ"</formula>
    </cfRule>
    <cfRule type="cellIs" dxfId="992" priority="4451" operator="equal">
      <formula>"ITAÚ"</formula>
    </cfRule>
    <cfRule type="cellIs" dxfId="991" priority="4452" operator="equal">
      <formula>"ITAÚ"</formula>
    </cfRule>
    <cfRule type="cellIs" dxfId="990" priority="4453" operator="equal">
      <formula>"ITAÚ MATRIZ"</formula>
    </cfRule>
    <cfRule type="cellIs" dxfId="989" priority="4454" operator="between">
      <formula>"SAFRA"</formula>
      <formula>"SAFRA"</formula>
    </cfRule>
    <cfRule type="cellIs" dxfId="988" priority="4455" operator="between">
      <formula>"SAFRA"</formula>
      <formula>"SAFRA"</formula>
    </cfRule>
    <cfRule type="cellIs" dxfId="987" priority="4456" operator="between">
      <formula>"DAYCOVAL"</formula>
      <formula>"DAYCOVAL"</formula>
    </cfRule>
    <cfRule type="cellIs" dxfId="986" priority="4457" operator="between">
      <formula>"ITAÚ FILIAL"</formula>
      <formula>"ITAÚ FILIAL"</formula>
    </cfRule>
    <cfRule type="cellIs" dxfId="985" priority="4458" operator="between">
      <formula>"ITAÚ FILIAL"</formula>
      <formula>"ITAÚ FILIAL"</formula>
    </cfRule>
    <cfRule type="cellIs" dxfId="984" priority="4459" operator="between">
      <formula>"ITAÚ MATRIZ"</formula>
      <formula>"ITAÚ MATRIZ"</formula>
    </cfRule>
    <cfRule type="cellIs" dxfId="983" priority="4460" operator="equal">
      <formula>"ITAÚ"</formula>
    </cfRule>
    <cfRule type="cellIs" dxfId="982" priority="4461" operator="equal">
      <formula>"ITAÚ"</formula>
    </cfRule>
    <cfRule type="cellIs" dxfId="981" priority="4462" operator="equal">
      <formula>"ITAÚ MATRIZ"</formula>
    </cfRule>
    <cfRule type="cellIs" dxfId="980" priority="4463" operator="between">
      <formula>"SAFRA"</formula>
      <formula>"SAFRA"</formula>
    </cfRule>
    <cfRule type="cellIs" dxfId="979" priority="4464" operator="between">
      <formula>"SAFRA"</formula>
      <formula>"SAFRA"</formula>
    </cfRule>
    <cfRule type="cellIs" dxfId="978" priority="4465" operator="between">
      <formula>"DAYCOVAL"</formula>
      <formula>"DAYCOVAL"</formula>
    </cfRule>
    <cfRule type="cellIs" dxfId="977" priority="4466" operator="between">
      <formula>"ITAÚ FILIAL"</formula>
      <formula>"ITAÚ FILIAL"</formula>
    </cfRule>
    <cfRule type="cellIs" dxfId="976" priority="4467" operator="between">
      <formula>"ITAÚ FILIAL"</formula>
      <formula>"ITAÚ FILIAL"</formula>
    </cfRule>
    <cfRule type="cellIs" dxfId="975" priority="4468" operator="between">
      <formula>"ITAÚ MATRIZ"</formula>
      <formula>"ITAÚ MATRIZ"</formula>
    </cfRule>
    <cfRule type="cellIs" dxfId="974" priority="4469" operator="equal">
      <formula>"ITAÚ"</formula>
    </cfRule>
    <cfRule type="cellIs" dxfId="973" priority="4470" operator="equal">
      <formula>"ITAÚ"</formula>
    </cfRule>
    <cfRule type="cellIs" dxfId="972" priority="4471" operator="equal">
      <formula>"ITAÚ MATRIZ"</formula>
    </cfRule>
    <cfRule type="cellIs" dxfId="971" priority="4472" operator="between">
      <formula>"SAFRA"</formula>
      <formula>"SAFRA"</formula>
    </cfRule>
    <cfRule type="cellIs" dxfId="970" priority="4480" operator="between">
      <formula>"SAFRA"</formula>
      <formula>"SAFRA"</formula>
    </cfRule>
  </conditionalFormatting>
  <conditionalFormatting sqref="I391:I405">
    <cfRule type="cellIs" dxfId="969" priority="4646" operator="equal">
      <formula>"ITAÚ MATRIZ"</formula>
    </cfRule>
    <cfRule type="cellIs" dxfId="968" priority="4647" operator="between">
      <formula>"SAFRA"</formula>
      <formula>"SAFRA"</formula>
    </cfRule>
    <cfRule type="cellIs" dxfId="967" priority="4648" operator="between">
      <formula>"SAFRA"</formula>
      <formula>"SAFRA"</formula>
    </cfRule>
    <cfRule type="cellIs" dxfId="966" priority="4649" operator="between">
      <formula>"DAYCOVAL"</formula>
      <formula>"DAYCOVAL"</formula>
    </cfRule>
    <cfRule type="cellIs" dxfId="965" priority="4653" operator="equal">
      <formula>"ITAÚ"</formula>
    </cfRule>
    <cfRule type="cellIs" dxfId="964" priority="4654" operator="equal">
      <formula>"ITAÚ"</formula>
    </cfRule>
  </conditionalFormatting>
  <conditionalFormatting sqref="I405">
    <cfRule type="cellIs" dxfId="963" priority="4608" operator="between">
      <formula>"ITAÚ MATRIZ"</formula>
      <formula>"ITAÚ MATRIZ"</formula>
    </cfRule>
    <cfRule type="cellIs" dxfId="962" priority="4601" operator="equal">
      <formula>"ITAÚ"</formula>
    </cfRule>
    <cfRule type="cellIs" dxfId="961" priority="4554" operator="between">
      <formula>"ITAÚ MATRIZ"</formula>
      <formula>"ITAÚ MATRIZ"</formula>
    </cfRule>
    <cfRule type="cellIs" dxfId="960" priority="4621" operator="between">
      <formula>"SAFRA"</formula>
      <formula>"SAFRA"</formula>
    </cfRule>
    <cfRule type="cellIs" dxfId="959" priority="4622" operator="between">
      <formula>"SAFRA"</formula>
      <formula>"SAFRA"</formula>
    </cfRule>
    <cfRule type="cellIs" dxfId="958" priority="4607" operator="between">
      <formula>"ITAÚ FILIAL"</formula>
      <formula>"ITAÚ FILIAL"</formula>
    </cfRule>
    <cfRule type="cellIs" dxfId="957" priority="4606" operator="between">
      <formula>"ITAÚ FILIAL"</formula>
      <formula>"ITAÚ FILIAL"</formula>
    </cfRule>
    <cfRule type="cellIs" dxfId="956" priority="4623" operator="between">
      <formula>"DAYCOVAL"</formula>
      <formula>"DAYCOVAL"</formula>
    </cfRule>
    <cfRule type="cellIs" dxfId="955" priority="4624" operator="between">
      <formula>"ITAÚ FILIAL"</formula>
      <formula>"ITAÚ FILIAL"</formula>
    </cfRule>
    <cfRule type="cellIs" dxfId="954" priority="4625" operator="between">
      <formula>"ITAÚ FILIAL"</formula>
      <formula>"ITAÚ FILIAL"</formula>
    </cfRule>
    <cfRule type="cellIs" dxfId="953" priority="4605" operator="between">
      <formula>"DAYCOVAL"</formula>
      <formula>"DAYCOVAL"</formula>
    </cfRule>
    <cfRule type="cellIs" dxfId="952" priority="4604" operator="between">
      <formula>"SAFRA"</formula>
      <formula>"SAFRA"</formula>
    </cfRule>
    <cfRule type="cellIs" dxfId="951" priority="4603" operator="between">
      <formula>"SAFRA"</formula>
      <formula>"SAFRA"</formula>
    </cfRule>
    <cfRule type="cellIs" dxfId="950" priority="4602" operator="equal">
      <formula>"ITAÚ MATRIZ"</formula>
    </cfRule>
    <cfRule type="cellIs" dxfId="949" priority="4626" operator="between">
      <formula>"ITAÚ MATRIZ"</formula>
      <formula>"ITAÚ MATRIZ"</formula>
    </cfRule>
    <cfRule type="cellIs" dxfId="948" priority="4627" operator="equal">
      <formula>"ITAÚ"</formula>
    </cfRule>
    <cfRule type="cellIs" dxfId="947" priority="4628" operator="equal">
      <formula>"ITAÚ"</formula>
    </cfRule>
    <cfRule type="cellIs" dxfId="946" priority="4629" operator="between">
      <formula>"SAFRA"</formula>
      <formula>"SAFRA"</formula>
    </cfRule>
    <cfRule type="cellIs" dxfId="945" priority="4630" operator="between">
      <formula>"SAFRA"</formula>
      <formula>"SAFRA"</formula>
    </cfRule>
    <cfRule type="cellIs" dxfId="944" priority="4631" operator="between">
      <formula>"DAYCOVAL"</formula>
      <formula>"DAYCOVAL"</formula>
    </cfRule>
    <cfRule type="cellIs" dxfId="943" priority="4632" operator="between">
      <formula>"ITAÚ FILIAL"</formula>
      <formula>"ITAÚ FILIAL"</formula>
    </cfRule>
    <cfRule type="cellIs" dxfId="942" priority="4633" operator="between">
      <formula>"ITAÚ FILIAL"</formula>
      <formula>"ITAÚ FILIAL"</formula>
    </cfRule>
    <cfRule type="cellIs" dxfId="941" priority="4620" operator="equal">
      <formula>"ITAÚ MATRIZ"</formula>
    </cfRule>
    <cfRule type="cellIs" dxfId="940" priority="4619" operator="equal">
      <formula>"ITAÚ"</formula>
    </cfRule>
    <cfRule type="cellIs" dxfId="939" priority="4618" operator="between">
      <formula>"ITAÚ MATRIZ"</formula>
      <formula>"ITAÚ MATRIZ"</formula>
    </cfRule>
    <cfRule type="cellIs" dxfId="938" priority="4634" operator="equal">
      <formula>"ITAÚ"</formula>
    </cfRule>
    <cfRule type="cellIs" dxfId="937" priority="4635" operator="equal">
      <formula>"ITAÚ MATRIZ"</formula>
    </cfRule>
    <cfRule type="cellIs" dxfId="936" priority="4636" operator="between">
      <formula>"ITAÚ MATRIZ"</formula>
      <formula>"ITAÚ MATRIZ"</formula>
    </cfRule>
    <cfRule type="cellIs" dxfId="935" priority="4637" operator="equal">
      <formula>"ITAÚ MATRIZ"</formula>
    </cfRule>
    <cfRule type="cellIs" dxfId="934" priority="4638" operator="between">
      <formula>"SAFRA"</formula>
      <formula>"SAFRA"</formula>
    </cfRule>
    <cfRule type="cellIs" dxfId="933" priority="4639" operator="between">
      <formula>"SAFRA"</formula>
      <formula>"SAFRA"</formula>
    </cfRule>
    <cfRule type="cellIs" dxfId="932" priority="4640" operator="between">
      <formula>"DAYCOVAL"</formula>
      <formula>"DAYCOVAL"</formula>
    </cfRule>
    <cfRule type="cellIs" dxfId="931" priority="4641" operator="between">
      <formula>"ITAÚ FILIAL"</formula>
      <formula>"ITAÚ FILIAL"</formula>
    </cfRule>
    <cfRule type="cellIs" dxfId="930" priority="4642" operator="between">
      <formula>"ITAÚ FILIAL"</formula>
      <formula>"ITAÚ FILIAL"</formula>
    </cfRule>
    <cfRule type="cellIs" dxfId="929" priority="4643" operator="between">
      <formula>"ITAÚ MATRIZ"</formula>
      <formula>"ITAÚ MATRIZ"</formula>
    </cfRule>
    <cfRule type="cellIs" dxfId="928" priority="4645" operator="equal">
      <formula>"ITAÚ"</formula>
    </cfRule>
    <cfRule type="cellIs" dxfId="927" priority="4650" operator="between">
      <formula>"ITAÚ FILIAL"</formula>
      <formula>"ITAÚ FILIAL"</formula>
    </cfRule>
    <cfRule type="cellIs" dxfId="926" priority="4617" operator="equal">
      <formula>"ITAÚ MATRIZ"</formula>
    </cfRule>
    <cfRule type="cellIs" dxfId="925" priority="4616" operator="equal">
      <formula>"ITAÚ"</formula>
    </cfRule>
    <cfRule type="cellIs" dxfId="924" priority="4615" operator="between">
      <formula>"ITAÚ FILIAL"</formula>
      <formula>"ITAÚ FILIAL"</formula>
    </cfRule>
    <cfRule type="cellIs" dxfId="923" priority="4614" operator="between">
      <formula>"ITAÚ FILIAL"</formula>
      <formula>"ITAÚ FILIAL"</formula>
    </cfRule>
    <cfRule type="cellIs" dxfId="922" priority="4651" operator="between">
      <formula>"ITAÚ FILIAL"</formula>
      <formula>"ITAÚ FILIAL"</formula>
    </cfRule>
    <cfRule type="cellIs" dxfId="921" priority="4652" operator="between">
      <formula>"ITAÚ MATRIZ"</formula>
      <formula>"ITAÚ MATRIZ"</formula>
    </cfRule>
    <cfRule type="cellIs" dxfId="920" priority="4548" operator="equal">
      <formula>"ITAÚ MATRIZ"</formula>
    </cfRule>
    <cfRule type="cellIs" dxfId="919" priority="4613" operator="between">
      <formula>"DAYCOVAL"</formula>
      <formula>"DAYCOVAL"</formula>
    </cfRule>
    <cfRule type="cellIs" dxfId="918" priority="4612" operator="between">
      <formula>"SAFRA"</formula>
      <formula>"SAFRA"</formula>
    </cfRule>
    <cfRule type="cellIs" dxfId="917" priority="4611" operator="between">
      <formula>"SAFRA"</formula>
      <formula>"SAFRA"</formula>
    </cfRule>
    <cfRule type="cellIs" dxfId="916" priority="4549" operator="between">
      <formula>"SAFRA"</formula>
      <formula>"SAFRA"</formula>
    </cfRule>
    <cfRule type="cellIs" dxfId="915" priority="4550" operator="between">
      <formula>"SAFRA"</formula>
      <formula>"SAFRA"</formula>
    </cfRule>
    <cfRule type="cellIs" dxfId="914" priority="4551" operator="between">
      <formula>"DAYCOVAL"</formula>
      <formula>"DAYCOVAL"</formula>
    </cfRule>
    <cfRule type="cellIs" dxfId="913" priority="4552" operator="between">
      <formula>"ITAÚ FILIAL"</formula>
      <formula>"ITAÚ FILIAL"</formula>
    </cfRule>
    <cfRule type="cellIs" dxfId="912" priority="4553" operator="between">
      <formula>"ITAÚ FILIAL"</formula>
      <formula>"ITAÚ FILIAL"</formula>
    </cfRule>
    <cfRule type="cellIs" dxfId="911" priority="4610" operator="equal">
      <formula>"ITAÚ"</formula>
    </cfRule>
    <cfRule type="cellIs" dxfId="910" priority="4555" operator="equal">
      <formula>"ITAÚ"</formula>
    </cfRule>
    <cfRule type="cellIs" dxfId="909" priority="4609" operator="equal">
      <formula>"ITAÚ"</formula>
    </cfRule>
    <cfRule type="cellIs" dxfId="908" priority="4557" operator="between">
      <formula>"SAFRA"</formula>
      <formula>"SAFRA"</formula>
    </cfRule>
    <cfRule type="cellIs" dxfId="907" priority="4558" operator="between">
      <formula>"SAFRA"</formula>
      <formula>"SAFRA"</formula>
    </cfRule>
    <cfRule type="cellIs" dxfId="906" priority="4559" operator="between">
      <formula>"DAYCOVAL"</formula>
      <formula>"DAYCOVAL"</formula>
    </cfRule>
    <cfRule type="cellIs" dxfId="905" priority="4560" operator="between">
      <formula>"ITAÚ FILIAL"</formula>
      <formula>"ITAÚ FILIAL"</formula>
    </cfRule>
    <cfRule type="cellIs" dxfId="904" priority="4561" operator="between">
      <formula>"ITAÚ FILIAL"</formula>
      <formula>"ITAÚ FILIAL"</formula>
    </cfRule>
    <cfRule type="cellIs" dxfId="903" priority="4562" operator="equal">
      <formula>"ITAÚ"</formula>
    </cfRule>
    <cfRule type="cellIs" dxfId="902" priority="4563" operator="equal">
      <formula>"ITAÚ MATRIZ"</formula>
    </cfRule>
    <cfRule type="cellIs" dxfId="901" priority="4564" operator="between">
      <formula>"ITAÚ MATRIZ"</formula>
      <formula>"ITAÚ MATRIZ"</formula>
    </cfRule>
    <cfRule type="cellIs" dxfId="900" priority="4565" operator="equal">
      <formula>"ITAÚ"</formula>
    </cfRule>
    <cfRule type="cellIs" dxfId="899" priority="4566" operator="equal">
      <formula>"ITAÚ MATRIZ"</formula>
    </cfRule>
    <cfRule type="cellIs" dxfId="898" priority="4567" operator="between">
      <formula>"SAFRA"</formula>
      <formula>"SAFRA"</formula>
    </cfRule>
    <cfRule type="cellIs" dxfId="897" priority="4568" operator="between">
      <formula>"SAFRA"</formula>
      <formula>"SAFRA"</formula>
    </cfRule>
    <cfRule type="cellIs" dxfId="896" priority="4569" operator="between">
      <formula>"DAYCOVAL"</formula>
      <formula>"DAYCOVAL"</formula>
    </cfRule>
    <cfRule type="cellIs" dxfId="895" priority="4570" operator="between">
      <formula>"ITAÚ FILIAL"</formula>
      <formula>"ITAÚ FILIAL"</formula>
    </cfRule>
    <cfRule type="cellIs" dxfId="894" priority="4571" operator="between">
      <formula>"ITAÚ FILIAL"</formula>
      <formula>"ITAÚ FILIAL"</formula>
    </cfRule>
    <cfRule type="cellIs" dxfId="893" priority="4572" operator="between">
      <formula>"ITAÚ MATRIZ"</formula>
      <formula>"ITAÚ MATRIZ"</formula>
    </cfRule>
    <cfRule type="cellIs" dxfId="892" priority="4573" operator="equal">
      <formula>"ITAÚ"</formula>
    </cfRule>
    <cfRule type="cellIs" dxfId="891" priority="4574" operator="equal">
      <formula>"ITAÚ"</formula>
    </cfRule>
    <cfRule type="cellIs" dxfId="890" priority="4575" operator="equal">
      <formula>"ITAÚ MATRIZ"</formula>
    </cfRule>
    <cfRule type="cellIs" dxfId="889" priority="4576" operator="between">
      <formula>"SAFRA"</formula>
      <formula>"SAFRA"</formula>
    </cfRule>
    <cfRule type="cellIs" dxfId="888" priority="4577" operator="between">
      <formula>"SAFRA"</formula>
      <formula>"SAFRA"</formula>
    </cfRule>
    <cfRule type="cellIs" dxfId="887" priority="4578" operator="between">
      <formula>"DAYCOVAL"</formula>
      <formula>"DAYCOVAL"</formula>
    </cfRule>
    <cfRule type="cellIs" dxfId="886" priority="4579" operator="between">
      <formula>"ITAÚ FILIAL"</formula>
      <formula>"ITAÚ FILIAL"</formula>
    </cfRule>
    <cfRule type="cellIs" dxfId="885" priority="4580" operator="between">
      <formula>"ITAÚ FILIAL"</formula>
      <formula>"ITAÚ FILIAL"</formula>
    </cfRule>
    <cfRule type="cellIs" dxfId="884" priority="4581" operator="between">
      <formula>"ITAÚ MATRIZ"</formula>
      <formula>"ITAÚ MATRIZ"</formula>
    </cfRule>
    <cfRule type="cellIs" dxfId="883" priority="4582" operator="equal">
      <formula>"ITAÚ"</formula>
    </cfRule>
    <cfRule type="cellIs" dxfId="882" priority="4583" operator="equal">
      <formula>"ITAÚ"</formula>
    </cfRule>
    <cfRule type="cellIs" dxfId="881" priority="4584" operator="equal">
      <formula>"ITAÚ MATRIZ"</formula>
    </cfRule>
    <cfRule type="cellIs" dxfId="880" priority="4585" operator="between">
      <formula>"SAFRA"</formula>
      <formula>"SAFRA"</formula>
    </cfRule>
    <cfRule type="cellIs" dxfId="879" priority="4586" operator="between">
      <formula>"SAFRA"</formula>
      <formula>"SAFRA"</formula>
    </cfRule>
    <cfRule type="cellIs" dxfId="878" priority="4587" operator="between">
      <formula>"DAYCOVAL"</formula>
      <formula>"DAYCOVAL"</formula>
    </cfRule>
    <cfRule type="cellIs" dxfId="877" priority="4588" operator="between">
      <formula>"ITAÚ FILIAL"</formula>
      <formula>"ITAÚ FILIAL"</formula>
    </cfRule>
    <cfRule type="cellIs" dxfId="876" priority="4589" operator="between">
      <formula>"ITAÚ FILIAL"</formula>
      <formula>"ITAÚ FILIAL"</formula>
    </cfRule>
    <cfRule type="cellIs" dxfId="875" priority="4590" operator="between">
      <formula>"ITAÚ MATRIZ"</formula>
      <formula>"ITAÚ MATRIZ"</formula>
    </cfRule>
    <cfRule type="cellIs" dxfId="874" priority="4591" operator="equal">
      <formula>"ITAÚ"</formula>
    </cfRule>
    <cfRule type="cellIs" dxfId="873" priority="4592" operator="equal">
      <formula>"ITAÚ"</formula>
    </cfRule>
    <cfRule type="cellIs" dxfId="872" priority="4593" operator="equal">
      <formula>"ITAÚ MATRIZ"</formula>
    </cfRule>
    <cfRule type="cellIs" dxfId="871" priority="4594" operator="between">
      <formula>"SAFRA"</formula>
      <formula>"SAFRA"</formula>
    </cfRule>
    <cfRule type="cellIs" dxfId="870" priority="4595" operator="between">
      <formula>"SAFRA"</formula>
      <formula>"SAFRA"</formula>
    </cfRule>
    <cfRule type="cellIs" dxfId="869" priority="4596" operator="between">
      <formula>"DAYCOVAL"</formula>
      <formula>"DAYCOVAL"</formula>
    </cfRule>
    <cfRule type="cellIs" dxfId="868" priority="4597" operator="between">
      <formula>"ITAÚ FILIAL"</formula>
      <formula>"ITAÚ FILIAL"</formula>
    </cfRule>
    <cfRule type="cellIs" dxfId="867" priority="4598" operator="between">
      <formula>"ITAÚ FILIAL"</formula>
      <formula>"ITAÚ FILIAL"</formula>
    </cfRule>
    <cfRule type="cellIs" dxfId="866" priority="4599" operator="between">
      <formula>"ITAÚ MATRIZ"</formula>
      <formula>"ITAÚ MATRIZ"</formula>
    </cfRule>
    <cfRule type="cellIs" dxfId="865" priority="4600" operator="equal">
      <formula>"ITAÚ"</formula>
    </cfRule>
    <cfRule type="cellIs" dxfId="864" priority="4556" operator="equal">
      <formula>"ITAÚ"</formula>
    </cfRule>
  </conditionalFormatting>
  <conditionalFormatting sqref="I406:I413">
    <cfRule type="cellIs" dxfId="863" priority="4776" operator="equal">
      <formula>"ITAÚ MATRIZ"</formula>
    </cfRule>
    <cfRule type="cellIs" dxfId="862" priority="4777" operator="between">
      <formula>"SAFRA"</formula>
      <formula>"SAFRA"</formula>
    </cfRule>
    <cfRule type="cellIs" dxfId="861" priority="4778" operator="between">
      <formula>"SAFRA"</formula>
      <formula>"SAFRA"</formula>
    </cfRule>
    <cfRule type="cellIs" dxfId="860" priority="4779" operator="between">
      <formula>"DAYCOVAL"</formula>
      <formula>"DAYCOVAL"</formula>
    </cfRule>
    <cfRule type="cellIs" dxfId="859" priority="4783" operator="equal">
      <formula>"ITAÚ"</formula>
    </cfRule>
    <cfRule type="cellIs" dxfId="858" priority="4784" operator="equal">
      <formula>"ITAÚ"</formula>
    </cfRule>
  </conditionalFormatting>
  <conditionalFormatting sqref="I413">
    <cfRule type="cellIs" dxfId="857" priority="4697" operator="between">
      <formula>"SAFRA"</formula>
      <formula>"SAFRA"</formula>
    </cfRule>
    <cfRule type="cellIs" dxfId="856" priority="4704" operator="equal">
      <formula>"ITAÚ"</formula>
    </cfRule>
    <cfRule type="cellIs" dxfId="855" priority="4745" operator="between">
      <formula>"ITAÚ FILIAL"</formula>
      <formula>"ITAÚ FILIAL"</formula>
    </cfRule>
    <cfRule type="cellIs" dxfId="854" priority="4739" operator="equal">
      <formula>"ITAÚ"</formula>
    </cfRule>
    <cfRule type="cellIs" dxfId="853" priority="4698" operator="between">
      <formula>"SAFRA"</formula>
      <formula>"SAFRA"</formula>
    </cfRule>
    <cfRule type="cellIs" dxfId="852" priority="4699" operator="between">
      <formula>"DAYCOVAL"</formula>
      <formula>"DAYCOVAL"</formula>
    </cfRule>
    <cfRule type="cellIs" dxfId="851" priority="4700" operator="between">
      <formula>"ITAÚ FILIAL"</formula>
      <formula>"ITAÚ FILIAL"</formula>
    </cfRule>
    <cfRule type="cellIs" dxfId="850" priority="4701" operator="between">
      <formula>"ITAÚ FILIAL"</formula>
      <formula>"ITAÚ FILIAL"</formula>
    </cfRule>
    <cfRule type="cellIs" dxfId="849" priority="4702" operator="between">
      <formula>"ITAÚ MATRIZ"</formula>
      <formula>"ITAÚ MATRIZ"</formula>
    </cfRule>
    <cfRule type="cellIs" dxfId="848" priority="4703" operator="equal">
      <formula>"ITAÚ"</formula>
    </cfRule>
    <cfRule type="cellIs" dxfId="847" priority="4744" operator="between">
      <formula>"ITAÚ FILIAL"</formula>
      <formula>"ITAÚ FILIAL"</formula>
    </cfRule>
    <cfRule type="cellIs" dxfId="846" priority="4740" operator="equal">
      <formula>"ITAÚ"</formula>
    </cfRule>
    <cfRule type="cellIs" dxfId="845" priority="4741" operator="between">
      <formula>"SAFRA"</formula>
      <formula>"SAFRA"</formula>
    </cfRule>
    <cfRule type="cellIs" dxfId="844" priority="4742" operator="between">
      <formula>"SAFRA"</formula>
      <formula>"SAFRA"</formula>
    </cfRule>
    <cfRule type="cellIs" dxfId="843" priority="4743" operator="between">
      <formula>"DAYCOVAL"</formula>
      <formula>"DAYCOVAL"</formula>
    </cfRule>
    <cfRule type="cellIs" dxfId="842" priority="4782" operator="between">
      <formula>"ITAÚ MATRIZ"</formula>
      <formula>"ITAÚ MATRIZ"</formula>
    </cfRule>
    <cfRule type="cellIs" dxfId="841" priority="4781" operator="between">
      <formula>"ITAÚ FILIAL"</formula>
      <formula>"ITAÚ FILIAL"</formula>
    </cfRule>
    <cfRule type="cellIs" dxfId="840" priority="4780" operator="between">
      <formula>"ITAÚ FILIAL"</formula>
      <formula>"ITAÚ FILIAL"</formula>
    </cfRule>
    <cfRule type="cellIs" dxfId="839" priority="4775" operator="equal">
      <formula>"ITAÚ"</formula>
    </cfRule>
    <cfRule type="cellIs" dxfId="838" priority="4773" operator="between">
      <formula>"ITAÚ MATRIZ"</formula>
      <formula>"ITAÚ MATRIZ"</formula>
    </cfRule>
    <cfRule type="cellIs" dxfId="837" priority="4772" operator="between">
      <formula>"ITAÚ FILIAL"</formula>
      <formula>"ITAÚ FILIAL"</formula>
    </cfRule>
    <cfRule type="cellIs" dxfId="836" priority="4771" operator="between">
      <formula>"ITAÚ FILIAL"</formula>
      <formula>"ITAÚ FILIAL"</formula>
    </cfRule>
    <cfRule type="cellIs" dxfId="835" priority="4770" operator="between">
      <formula>"DAYCOVAL"</formula>
      <formula>"DAYCOVAL"</formula>
    </cfRule>
    <cfRule type="cellIs" dxfId="834" priority="4769" operator="between">
      <formula>"SAFRA"</formula>
      <formula>"SAFRA"</formula>
    </cfRule>
    <cfRule type="cellIs" dxfId="833" priority="4768" operator="between">
      <formula>"SAFRA"</formula>
      <formula>"SAFRA"</formula>
    </cfRule>
    <cfRule type="cellIs" dxfId="832" priority="4767" operator="equal">
      <formula>"ITAÚ MATRIZ"</formula>
    </cfRule>
    <cfRule type="cellIs" dxfId="831" priority="4766" operator="between">
      <formula>"ITAÚ MATRIZ"</formula>
      <formula>"ITAÚ MATRIZ"</formula>
    </cfRule>
    <cfRule type="cellIs" dxfId="830" priority="4765" operator="equal">
      <formula>"ITAÚ MATRIZ"</formula>
    </cfRule>
    <cfRule type="cellIs" dxfId="829" priority="4764" operator="equal">
      <formula>"ITAÚ"</formula>
    </cfRule>
    <cfRule type="cellIs" dxfId="828" priority="4763" operator="between">
      <formula>"ITAÚ FILIAL"</formula>
      <formula>"ITAÚ FILIAL"</formula>
    </cfRule>
    <cfRule type="cellIs" dxfId="827" priority="4762" operator="between">
      <formula>"ITAÚ FILIAL"</formula>
      <formula>"ITAÚ FILIAL"</formula>
    </cfRule>
    <cfRule type="cellIs" dxfId="826" priority="4761" operator="between">
      <formula>"DAYCOVAL"</formula>
      <formula>"DAYCOVAL"</formula>
    </cfRule>
    <cfRule type="cellIs" dxfId="825" priority="4760" operator="between">
      <formula>"SAFRA"</formula>
      <formula>"SAFRA"</formula>
    </cfRule>
    <cfRule type="cellIs" dxfId="824" priority="4759" operator="between">
      <formula>"SAFRA"</formula>
      <formula>"SAFRA"</formula>
    </cfRule>
    <cfRule type="cellIs" dxfId="823" priority="4758" operator="equal">
      <formula>"ITAÚ"</formula>
    </cfRule>
    <cfRule type="cellIs" dxfId="822" priority="4757" operator="equal">
      <formula>"ITAÚ"</formula>
    </cfRule>
    <cfRule type="cellIs" dxfId="821" priority="4756" operator="between">
      <formula>"ITAÚ MATRIZ"</formula>
      <formula>"ITAÚ MATRIZ"</formula>
    </cfRule>
    <cfRule type="cellIs" dxfId="820" priority="4755" operator="between">
      <formula>"ITAÚ FILIAL"</formula>
      <formula>"ITAÚ FILIAL"</formula>
    </cfRule>
    <cfRule type="cellIs" dxfId="819" priority="4754" operator="between">
      <formula>"ITAÚ FILIAL"</formula>
      <formula>"ITAÚ FILIAL"</formula>
    </cfRule>
    <cfRule type="cellIs" dxfId="818" priority="4753" operator="between">
      <formula>"DAYCOVAL"</formula>
      <formula>"DAYCOVAL"</formula>
    </cfRule>
    <cfRule type="cellIs" dxfId="817" priority="4752" operator="between">
      <formula>"SAFRA"</formula>
      <formula>"SAFRA"</formula>
    </cfRule>
    <cfRule type="cellIs" dxfId="816" priority="4751" operator="between">
      <formula>"SAFRA"</formula>
      <formula>"SAFRA"</formula>
    </cfRule>
    <cfRule type="cellIs" dxfId="815" priority="4750" operator="equal">
      <formula>"ITAÚ MATRIZ"</formula>
    </cfRule>
    <cfRule type="cellIs" dxfId="814" priority="4749" operator="equal">
      <formula>"ITAÚ"</formula>
    </cfRule>
    <cfRule type="cellIs" dxfId="813" priority="4748" operator="between">
      <formula>"ITAÚ MATRIZ"</formula>
      <formula>"ITAÚ MATRIZ"</formula>
    </cfRule>
    <cfRule type="cellIs" dxfId="812" priority="4747" operator="equal">
      <formula>"ITAÚ MATRIZ"</formula>
    </cfRule>
    <cfRule type="cellIs" dxfId="811" priority="4678" operator="equal">
      <formula>"ITAÚ MATRIZ"</formula>
    </cfRule>
    <cfRule type="cellIs" dxfId="810" priority="4738" operator="between">
      <formula>"ITAÚ MATRIZ"</formula>
      <formula>"ITAÚ MATRIZ"</formula>
    </cfRule>
    <cfRule type="cellIs" dxfId="809" priority="4737" operator="between">
      <formula>"ITAÚ FILIAL"</formula>
      <formula>"ITAÚ FILIAL"</formula>
    </cfRule>
    <cfRule type="cellIs" dxfId="808" priority="4679" operator="between">
      <formula>"SAFRA"</formula>
      <formula>"SAFRA"</formula>
    </cfRule>
    <cfRule type="cellIs" dxfId="807" priority="4680" operator="between">
      <formula>"SAFRA"</formula>
      <formula>"SAFRA"</formula>
    </cfRule>
    <cfRule type="cellIs" dxfId="806" priority="4681" operator="between">
      <formula>"DAYCOVAL"</formula>
      <formula>"DAYCOVAL"</formula>
    </cfRule>
    <cfRule type="cellIs" dxfId="805" priority="4682" operator="between">
      <formula>"ITAÚ FILIAL"</formula>
      <formula>"ITAÚ FILIAL"</formula>
    </cfRule>
    <cfRule type="cellIs" dxfId="804" priority="4683" operator="between">
      <formula>"ITAÚ FILIAL"</formula>
      <formula>"ITAÚ FILIAL"</formula>
    </cfRule>
    <cfRule type="cellIs" dxfId="803" priority="4684" operator="between">
      <formula>"ITAÚ MATRIZ"</formula>
      <formula>"ITAÚ MATRIZ"</formula>
    </cfRule>
    <cfRule type="cellIs" dxfId="802" priority="4685" operator="equal">
      <formula>"ITAÚ"</formula>
    </cfRule>
    <cfRule type="cellIs" dxfId="801" priority="4686" operator="equal">
      <formula>"ITAÚ"</formula>
    </cfRule>
    <cfRule type="cellIs" dxfId="800" priority="4687" operator="between">
      <formula>"SAFRA"</formula>
      <formula>"SAFRA"</formula>
    </cfRule>
    <cfRule type="cellIs" dxfId="799" priority="4688" operator="between">
      <formula>"SAFRA"</formula>
      <formula>"SAFRA"</formula>
    </cfRule>
    <cfRule type="cellIs" dxfId="798" priority="4689" operator="between">
      <formula>"DAYCOVAL"</formula>
      <formula>"DAYCOVAL"</formula>
    </cfRule>
    <cfRule type="cellIs" dxfId="797" priority="4690" operator="between">
      <formula>"ITAÚ FILIAL"</formula>
      <formula>"ITAÚ FILIAL"</formula>
    </cfRule>
    <cfRule type="cellIs" dxfId="796" priority="4691" operator="between">
      <formula>"ITAÚ FILIAL"</formula>
      <formula>"ITAÚ FILIAL"</formula>
    </cfRule>
    <cfRule type="cellIs" dxfId="795" priority="4692" operator="equal">
      <formula>"ITAÚ"</formula>
    </cfRule>
    <cfRule type="cellIs" dxfId="794" priority="4693" operator="equal">
      <formula>"ITAÚ MATRIZ"</formula>
    </cfRule>
    <cfRule type="cellIs" dxfId="793" priority="4736" operator="between">
      <formula>"ITAÚ FILIAL"</formula>
      <formula>"ITAÚ FILIAL"</formula>
    </cfRule>
    <cfRule type="cellIs" dxfId="792" priority="4735" operator="between">
      <formula>"DAYCOVAL"</formula>
      <formula>"DAYCOVAL"</formula>
    </cfRule>
    <cfRule type="cellIs" dxfId="791" priority="4734" operator="between">
      <formula>"SAFRA"</formula>
      <formula>"SAFRA"</formula>
    </cfRule>
    <cfRule type="cellIs" dxfId="790" priority="4733" operator="between">
      <formula>"SAFRA"</formula>
      <formula>"SAFRA"</formula>
    </cfRule>
    <cfRule type="cellIs" dxfId="789" priority="4732" operator="equal">
      <formula>"ITAÚ MATRIZ"</formula>
    </cfRule>
    <cfRule type="cellIs" dxfId="788" priority="4731" operator="equal">
      <formula>"ITAÚ"</formula>
    </cfRule>
    <cfRule type="cellIs" dxfId="787" priority="4730" operator="equal">
      <formula>"ITAÚ"</formula>
    </cfRule>
    <cfRule type="cellIs" dxfId="786" priority="4729" operator="between">
      <formula>"ITAÚ MATRIZ"</formula>
      <formula>"ITAÚ MATRIZ"</formula>
    </cfRule>
    <cfRule type="cellIs" dxfId="785" priority="4728" operator="between">
      <formula>"ITAÚ FILIAL"</formula>
      <formula>"ITAÚ FILIAL"</formula>
    </cfRule>
    <cfRule type="cellIs" dxfId="784" priority="4694" operator="between">
      <formula>"ITAÚ MATRIZ"</formula>
      <formula>"ITAÚ MATRIZ"</formula>
    </cfRule>
    <cfRule type="cellIs" dxfId="783" priority="4695" operator="equal">
      <formula>"ITAÚ"</formula>
    </cfRule>
    <cfRule type="cellIs" dxfId="782" priority="4696" operator="equal">
      <formula>"ITAÚ MATRIZ"</formula>
    </cfRule>
    <cfRule type="cellIs" dxfId="781" priority="4727" operator="between">
      <formula>"ITAÚ FILIAL"</formula>
      <formula>"ITAÚ FILIAL"</formula>
    </cfRule>
    <cfRule type="cellIs" dxfId="780" priority="4726" operator="between">
      <formula>"DAYCOVAL"</formula>
      <formula>"DAYCOVAL"</formula>
    </cfRule>
    <cfRule type="cellIs" dxfId="779" priority="4725" operator="between">
      <formula>"SAFRA"</formula>
      <formula>"SAFRA"</formula>
    </cfRule>
    <cfRule type="cellIs" dxfId="778" priority="4724" operator="between">
      <formula>"SAFRA"</formula>
      <formula>"SAFRA"</formula>
    </cfRule>
    <cfRule type="cellIs" dxfId="777" priority="4723" operator="equal">
      <formula>"ITAÚ MATRIZ"</formula>
    </cfRule>
    <cfRule type="cellIs" dxfId="776" priority="4722" operator="equal">
      <formula>"ITAÚ"</formula>
    </cfRule>
    <cfRule type="cellIs" dxfId="775" priority="4721" operator="equal">
      <formula>"ITAÚ"</formula>
    </cfRule>
    <cfRule type="cellIs" dxfId="774" priority="4720" operator="between">
      <formula>"ITAÚ MATRIZ"</formula>
      <formula>"ITAÚ MATRIZ"</formula>
    </cfRule>
    <cfRule type="cellIs" dxfId="773" priority="4719" operator="between">
      <formula>"ITAÚ FILIAL"</formula>
      <formula>"ITAÚ FILIAL"</formula>
    </cfRule>
    <cfRule type="cellIs" dxfId="772" priority="4718" operator="between">
      <formula>"ITAÚ FILIAL"</formula>
      <formula>"ITAÚ FILIAL"</formula>
    </cfRule>
    <cfRule type="cellIs" dxfId="771" priority="4717" operator="between">
      <formula>"DAYCOVAL"</formula>
      <formula>"DAYCOVAL"</formula>
    </cfRule>
    <cfRule type="cellIs" dxfId="770" priority="4716" operator="between">
      <formula>"SAFRA"</formula>
      <formula>"SAFRA"</formula>
    </cfRule>
    <cfRule type="cellIs" dxfId="769" priority="4715" operator="between">
      <formula>"SAFRA"</formula>
      <formula>"SAFRA"</formula>
    </cfRule>
    <cfRule type="cellIs" dxfId="768" priority="4714" operator="equal">
      <formula>"ITAÚ MATRIZ"</formula>
    </cfRule>
    <cfRule type="cellIs" dxfId="767" priority="4713" operator="equal">
      <formula>"ITAÚ"</formula>
    </cfRule>
    <cfRule type="cellIs" dxfId="766" priority="4712" operator="equal">
      <formula>"ITAÚ"</formula>
    </cfRule>
    <cfRule type="cellIs" dxfId="765" priority="4711" operator="between">
      <formula>"ITAÚ MATRIZ"</formula>
      <formula>"ITAÚ MATRIZ"</formula>
    </cfRule>
    <cfRule type="cellIs" dxfId="764" priority="4710" operator="between">
      <formula>"ITAÚ FILIAL"</formula>
      <formula>"ITAÚ FILIAL"</formula>
    </cfRule>
    <cfRule type="cellIs" dxfId="763" priority="4709" operator="between">
      <formula>"ITAÚ FILIAL"</formula>
      <formula>"ITAÚ FILIAL"</formula>
    </cfRule>
    <cfRule type="cellIs" dxfId="762" priority="4708" operator="between">
      <formula>"DAYCOVAL"</formula>
      <formula>"DAYCOVAL"</formula>
    </cfRule>
    <cfRule type="cellIs" dxfId="761" priority="4707" operator="between">
      <formula>"SAFRA"</formula>
      <formula>"SAFRA"</formula>
    </cfRule>
    <cfRule type="cellIs" dxfId="760" priority="4706" operator="between">
      <formula>"SAFRA"</formula>
      <formula>"SAFRA"</formula>
    </cfRule>
    <cfRule type="cellIs" dxfId="759" priority="4705" operator="equal">
      <formula>"ITAÚ MATRIZ"</formula>
    </cfRule>
    <cfRule type="cellIs" dxfId="758" priority="4746" operator="equal">
      <formula>"ITAÚ"</formula>
    </cfRule>
  </conditionalFormatting>
  <conditionalFormatting sqref="I414:I428">
    <cfRule type="cellIs" dxfId="757" priority="4907" operator="equal">
      <formula>"ITAÚ MATRIZ"</formula>
    </cfRule>
    <cfRule type="cellIs" dxfId="756" priority="4908" operator="between">
      <formula>"SAFRA"</formula>
      <formula>"SAFRA"</formula>
    </cfRule>
    <cfRule type="cellIs" dxfId="755" priority="4909" operator="between">
      <formula>"SAFRA"</formula>
      <formula>"SAFRA"</formula>
    </cfRule>
    <cfRule type="cellIs" dxfId="754" priority="4910" operator="between">
      <formula>"DAYCOVAL"</formula>
      <formula>"DAYCOVAL"</formula>
    </cfRule>
    <cfRule type="cellIs" dxfId="753" priority="4914" operator="equal">
      <formula>"ITAÚ"</formula>
    </cfRule>
    <cfRule type="cellIs" dxfId="752" priority="4915" operator="equal">
      <formula>"ITAÚ"</formula>
    </cfRule>
  </conditionalFormatting>
  <conditionalFormatting sqref="I428">
    <cfRule type="cellIs" dxfId="751" priority="4892" operator="between">
      <formula>"DAYCOVAL"</formula>
      <formula>"DAYCOVAL"</formula>
    </cfRule>
    <cfRule type="cellIs" dxfId="750" priority="4872" operator="between">
      <formula>"SAFRA"</formula>
      <formula>"SAFRA"</formula>
    </cfRule>
    <cfRule type="cellIs" dxfId="749" priority="4820" operator="between">
      <formula>"DAYCOVAL"</formula>
      <formula>"DAYCOVAL"</formula>
    </cfRule>
    <cfRule type="cellIs" dxfId="748" priority="4822" operator="between">
      <formula>"ITAÚ FILIAL"</formula>
      <formula>"ITAÚ FILIAL"</formula>
    </cfRule>
    <cfRule type="cellIs" dxfId="747" priority="4870" operator="equal">
      <formula>"ITAÚ"</formula>
    </cfRule>
    <cfRule type="cellIs" dxfId="746" priority="4869" operator="between">
      <formula>"ITAÚ MATRIZ"</formula>
      <formula>"ITAÚ MATRIZ"</formula>
    </cfRule>
    <cfRule type="cellIs" dxfId="745" priority="4868" operator="between">
      <formula>"ITAÚ FILIAL"</formula>
      <formula>"ITAÚ FILIAL"</formula>
    </cfRule>
    <cfRule type="cellIs" dxfId="744" priority="4889" operator="equal">
      <formula>"ITAÚ"</formula>
    </cfRule>
    <cfRule type="cellIs" dxfId="743" priority="4888" operator="equal">
      <formula>"ITAÚ"</formula>
    </cfRule>
    <cfRule type="cellIs" dxfId="742" priority="4887" operator="between">
      <formula>"ITAÚ MATRIZ"</formula>
      <formula>"ITAÚ MATRIZ"</formula>
    </cfRule>
    <cfRule type="cellIs" dxfId="741" priority="4886" operator="between">
      <formula>"ITAÚ FILIAL"</formula>
      <formula>"ITAÚ FILIAL"</formula>
    </cfRule>
    <cfRule type="cellIs" dxfId="740" priority="4885" operator="between">
      <formula>"ITAÚ FILIAL"</formula>
      <formula>"ITAÚ FILIAL"</formula>
    </cfRule>
    <cfRule type="cellIs" dxfId="739" priority="4893" operator="between">
      <formula>"ITAÚ FILIAL"</formula>
      <formula>"ITAÚ FILIAL"</formula>
    </cfRule>
    <cfRule type="cellIs" dxfId="738" priority="4891" operator="between">
      <formula>"SAFRA"</formula>
      <formula>"SAFRA"</formula>
    </cfRule>
    <cfRule type="cellIs" dxfId="737" priority="4884" operator="between">
      <formula>"DAYCOVAL"</formula>
      <formula>"DAYCOVAL"</formula>
    </cfRule>
    <cfRule type="cellIs" dxfId="736" priority="4883" operator="between">
      <formula>"SAFRA"</formula>
      <formula>"SAFRA"</formula>
    </cfRule>
    <cfRule type="cellIs" dxfId="735" priority="4882" operator="between">
      <formula>"SAFRA"</formula>
      <formula>"SAFRA"</formula>
    </cfRule>
    <cfRule type="cellIs" dxfId="734" priority="4881" operator="equal">
      <formula>"ITAÚ MATRIZ"</formula>
    </cfRule>
    <cfRule type="cellIs" dxfId="733" priority="4880" operator="equal">
      <formula>"ITAÚ"</formula>
    </cfRule>
    <cfRule type="cellIs" dxfId="732" priority="4867" operator="between">
      <formula>"ITAÚ FILIAL"</formula>
      <formula>"ITAÚ FILIAL"</formula>
    </cfRule>
    <cfRule type="cellIs" dxfId="731" priority="4866" operator="between">
      <formula>"DAYCOVAL"</formula>
      <formula>"DAYCOVAL"</formula>
    </cfRule>
    <cfRule type="cellIs" dxfId="730" priority="4865" operator="between">
      <formula>"SAFRA"</formula>
      <formula>"SAFRA"</formula>
    </cfRule>
    <cfRule type="cellIs" dxfId="729" priority="4864" operator="between">
      <formula>"SAFRA"</formula>
      <formula>"SAFRA"</formula>
    </cfRule>
    <cfRule type="cellIs" dxfId="728" priority="4863" operator="equal">
      <formula>"ITAÚ MATRIZ"</formula>
    </cfRule>
    <cfRule type="cellIs" dxfId="727" priority="4862" operator="equal">
      <formula>"ITAÚ"</formula>
    </cfRule>
    <cfRule type="cellIs" dxfId="726" priority="4861" operator="equal">
      <formula>"ITAÚ"</formula>
    </cfRule>
    <cfRule type="cellIs" dxfId="725" priority="4860" operator="between">
      <formula>"ITAÚ MATRIZ"</formula>
      <formula>"ITAÚ MATRIZ"</formula>
    </cfRule>
    <cfRule type="cellIs" dxfId="724" priority="4859" operator="between">
      <formula>"ITAÚ FILIAL"</formula>
      <formula>"ITAÚ FILIAL"</formula>
    </cfRule>
    <cfRule type="cellIs" dxfId="723" priority="4858" operator="between">
      <formula>"ITAÚ FILIAL"</formula>
      <formula>"ITAÚ FILIAL"</formula>
    </cfRule>
    <cfRule type="cellIs" dxfId="722" priority="4857" operator="between">
      <formula>"DAYCOVAL"</formula>
      <formula>"DAYCOVAL"</formula>
    </cfRule>
    <cfRule type="cellIs" dxfId="721" priority="4856" operator="between">
      <formula>"SAFRA"</formula>
      <formula>"SAFRA"</formula>
    </cfRule>
    <cfRule type="cellIs" dxfId="720" priority="4855" operator="between">
      <formula>"SAFRA"</formula>
      <formula>"SAFRA"</formula>
    </cfRule>
    <cfRule type="cellIs" dxfId="719" priority="4854" operator="equal">
      <formula>"ITAÚ MATRIZ"</formula>
    </cfRule>
    <cfRule type="cellIs" dxfId="718" priority="4853" operator="equal">
      <formula>"ITAÚ"</formula>
    </cfRule>
    <cfRule type="cellIs" dxfId="717" priority="4852" operator="equal">
      <formula>"ITAÚ"</formula>
    </cfRule>
    <cfRule type="cellIs" dxfId="716" priority="4851" operator="between">
      <formula>"ITAÚ MATRIZ"</formula>
      <formula>"ITAÚ MATRIZ"</formula>
    </cfRule>
    <cfRule type="cellIs" dxfId="715" priority="4850" operator="between">
      <formula>"ITAÚ FILIAL"</formula>
      <formula>"ITAÚ FILIAL"</formula>
    </cfRule>
    <cfRule type="cellIs" dxfId="714" priority="4849" operator="between">
      <formula>"ITAÚ FILIAL"</formula>
      <formula>"ITAÚ FILIAL"</formula>
    </cfRule>
    <cfRule type="cellIs" dxfId="713" priority="4848" operator="between">
      <formula>"DAYCOVAL"</formula>
      <formula>"DAYCOVAL"</formula>
    </cfRule>
    <cfRule type="cellIs" dxfId="712" priority="4847" operator="between">
      <formula>"SAFRA"</formula>
      <formula>"SAFRA"</formula>
    </cfRule>
    <cfRule type="cellIs" dxfId="711" priority="4846" operator="between">
      <formula>"SAFRA"</formula>
      <formula>"SAFRA"</formula>
    </cfRule>
    <cfRule type="cellIs" dxfId="710" priority="4845" operator="equal">
      <formula>"ITAÚ MATRIZ"</formula>
    </cfRule>
    <cfRule type="cellIs" dxfId="709" priority="4844" operator="equal">
      <formula>"ITAÚ"</formula>
    </cfRule>
    <cfRule type="cellIs" dxfId="708" priority="4843" operator="equal">
      <formula>"ITAÚ"</formula>
    </cfRule>
    <cfRule type="cellIs" dxfId="707" priority="4842" operator="between">
      <formula>"ITAÚ MATRIZ"</formula>
      <formula>"ITAÚ MATRIZ"</formula>
    </cfRule>
    <cfRule type="cellIs" dxfId="706" priority="4841" operator="between">
      <formula>"ITAÚ FILIAL"</formula>
      <formula>"ITAÚ FILIAL"</formula>
    </cfRule>
    <cfRule type="cellIs" dxfId="705" priority="4840" operator="between">
      <formula>"ITAÚ FILIAL"</formula>
      <formula>"ITAÚ FILIAL"</formula>
    </cfRule>
    <cfRule type="cellIs" dxfId="704" priority="4839" operator="between">
      <formula>"DAYCOVAL"</formula>
      <formula>"DAYCOVAL"</formula>
    </cfRule>
    <cfRule type="cellIs" dxfId="703" priority="4838" operator="between">
      <formula>"SAFRA"</formula>
      <formula>"SAFRA"</formula>
    </cfRule>
    <cfRule type="cellIs" dxfId="702" priority="4837" operator="between">
      <formula>"SAFRA"</formula>
      <formula>"SAFRA"</formula>
    </cfRule>
    <cfRule type="cellIs" dxfId="701" priority="4890" operator="between">
      <formula>"SAFRA"</formula>
      <formula>"SAFRA"</formula>
    </cfRule>
    <cfRule type="cellIs" dxfId="700" priority="4809" operator="equal">
      <formula>"ITAÚ MATRIZ"</formula>
    </cfRule>
    <cfRule type="cellIs" dxfId="699" priority="4810" operator="between">
      <formula>"SAFRA"</formula>
      <formula>"SAFRA"</formula>
    </cfRule>
    <cfRule type="cellIs" dxfId="698" priority="4836" operator="equal">
      <formula>"ITAÚ MATRIZ"</formula>
    </cfRule>
    <cfRule type="cellIs" dxfId="697" priority="4835" operator="equal">
      <formula>"ITAÚ"</formula>
    </cfRule>
    <cfRule type="cellIs" dxfId="696" priority="4834" operator="equal">
      <formula>"ITAÚ"</formula>
    </cfRule>
    <cfRule type="cellIs" dxfId="695" priority="4833" operator="between">
      <formula>"ITAÚ MATRIZ"</formula>
      <formula>"ITAÚ MATRIZ"</formula>
    </cfRule>
    <cfRule type="cellIs" dxfId="694" priority="4832" operator="between">
      <formula>"ITAÚ FILIAL"</formula>
      <formula>"ITAÚ FILIAL"</formula>
    </cfRule>
    <cfRule type="cellIs" dxfId="693" priority="4831" operator="between">
      <formula>"ITAÚ FILIAL"</formula>
      <formula>"ITAÚ FILIAL"</formula>
    </cfRule>
    <cfRule type="cellIs" dxfId="692" priority="4830" operator="between">
      <formula>"DAYCOVAL"</formula>
      <formula>"DAYCOVAL"</formula>
    </cfRule>
    <cfRule type="cellIs" dxfId="691" priority="4829" operator="between">
      <formula>"SAFRA"</formula>
      <formula>"SAFRA"</formula>
    </cfRule>
    <cfRule type="cellIs" dxfId="690" priority="4828" operator="between">
      <formula>"SAFRA"</formula>
      <formula>"SAFRA"</formula>
    </cfRule>
    <cfRule type="cellIs" dxfId="689" priority="4827" operator="equal">
      <formula>"ITAÚ MATRIZ"</formula>
    </cfRule>
    <cfRule type="cellIs" dxfId="688" priority="4826" operator="equal">
      <formula>"ITAÚ"</formula>
    </cfRule>
    <cfRule type="cellIs" dxfId="687" priority="4825" operator="between">
      <formula>"ITAÚ MATRIZ"</formula>
      <formula>"ITAÚ MATRIZ"</formula>
    </cfRule>
    <cfRule type="cellIs" dxfId="686" priority="4824" operator="equal">
      <formula>"ITAÚ MATRIZ"</formula>
    </cfRule>
    <cfRule type="cellIs" dxfId="685" priority="4823" operator="equal">
      <formula>"ITAÚ"</formula>
    </cfRule>
    <cfRule type="cellIs" dxfId="684" priority="4875" operator="between">
      <formula>"ITAÚ FILIAL"</formula>
      <formula>"ITAÚ FILIAL"</formula>
    </cfRule>
    <cfRule type="cellIs" dxfId="683" priority="4821" operator="between">
      <formula>"ITAÚ FILIAL"</formula>
      <formula>"ITAÚ FILIAL"</formula>
    </cfRule>
    <cfRule type="cellIs" dxfId="682" priority="4876" operator="between">
      <formula>"ITAÚ FILIAL"</formula>
      <formula>"ITAÚ FILIAL"</formula>
    </cfRule>
    <cfRule type="cellIs" dxfId="681" priority="4819" operator="between">
      <formula>"SAFRA"</formula>
      <formula>"SAFRA"</formula>
    </cfRule>
    <cfRule type="cellIs" dxfId="680" priority="4818" operator="between">
      <formula>"SAFRA"</formula>
      <formula>"SAFRA"</formula>
    </cfRule>
    <cfRule type="cellIs" dxfId="679" priority="4817" operator="equal">
      <formula>"ITAÚ"</formula>
    </cfRule>
    <cfRule type="cellIs" dxfId="678" priority="4816" operator="equal">
      <formula>"ITAÚ"</formula>
    </cfRule>
    <cfRule type="cellIs" dxfId="677" priority="4815" operator="between">
      <formula>"ITAÚ MATRIZ"</formula>
      <formula>"ITAÚ MATRIZ"</formula>
    </cfRule>
    <cfRule type="cellIs" dxfId="676" priority="4814" operator="between">
      <formula>"ITAÚ FILIAL"</formula>
      <formula>"ITAÚ FILIAL"</formula>
    </cfRule>
    <cfRule type="cellIs" dxfId="675" priority="4877" operator="equal">
      <formula>"ITAÚ"</formula>
    </cfRule>
    <cfRule type="cellIs" dxfId="674" priority="4878" operator="equal">
      <formula>"ITAÚ MATRIZ"</formula>
    </cfRule>
    <cfRule type="cellIs" dxfId="673" priority="4879" operator="between">
      <formula>"ITAÚ MATRIZ"</formula>
      <formula>"ITAÚ MATRIZ"</formula>
    </cfRule>
    <cfRule type="cellIs" dxfId="672" priority="4813" operator="between">
      <formula>"ITAÚ FILIAL"</formula>
      <formula>"ITAÚ FILIAL"</formula>
    </cfRule>
    <cfRule type="cellIs" dxfId="671" priority="4812" operator="between">
      <formula>"DAYCOVAL"</formula>
      <formula>"DAYCOVAL"</formula>
    </cfRule>
    <cfRule type="cellIs" dxfId="670" priority="4811" operator="between">
      <formula>"SAFRA"</formula>
      <formula>"SAFRA"</formula>
    </cfRule>
    <cfRule type="cellIs" dxfId="669" priority="4894" operator="between">
      <formula>"ITAÚ FILIAL"</formula>
      <formula>"ITAÚ FILIAL"</formula>
    </cfRule>
    <cfRule type="cellIs" dxfId="668" priority="4895" operator="equal">
      <formula>"ITAÚ"</formula>
    </cfRule>
    <cfRule type="cellIs" dxfId="667" priority="4896" operator="equal">
      <formula>"ITAÚ MATRIZ"</formula>
    </cfRule>
    <cfRule type="cellIs" dxfId="666" priority="4897" operator="between">
      <formula>"ITAÚ MATRIZ"</formula>
      <formula>"ITAÚ MATRIZ"</formula>
    </cfRule>
    <cfRule type="cellIs" dxfId="665" priority="4898" operator="equal">
      <formula>"ITAÚ MATRIZ"</formula>
    </cfRule>
    <cfRule type="cellIs" dxfId="664" priority="4899" operator="between">
      <formula>"SAFRA"</formula>
      <formula>"SAFRA"</formula>
    </cfRule>
    <cfRule type="cellIs" dxfId="663" priority="4900" operator="between">
      <formula>"SAFRA"</formula>
      <formula>"SAFRA"</formula>
    </cfRule>
    <cfRule type="cellIs" dxfId="662" priority="4901" operator="between">
      <formula>"DAYCOVAL"</formula>
      <formula>"DAYCOVAL"</formula>
    </cfRule>
    <cfRule type="cellIs" dxfId="661" priority="4902" operator="between">
      <formula>"ITAÚ FILIAL"</formula>
      <formula>"ITAÚ FILIAL"</formula>
    </cfRule>
    <cfRule type="cellIs" dxfId="660" priority="4903" operator="between">
      <formula>"ITAÚ FILIAL"</formula>
      <formula>"ITAÚ FILIAL"</formula>
    </cfRule>
    <cfRule type="cellIs" dxfId="659" priority="4904" operator="between">
      <formula>"ITAÚ MATRIZ"</formula>
      <formula>"ITAÚ MATRIZ"</formula>
    </cfRule>
    <cfRule type="cellIs" dxfId="658" priority="4906" operator="equal">
      <formula>"ITAÚ"</formula>
    </cfRule>
    <cfRule type="cellIs" dxfId="657" priority="4911" operator="between">
      <formula>"ITAÚ FILIAL"</formula>
      <formula>"ITAÚ FILIAL"</formula>
    </cfRule>
    <cfRule type="cellIs" dxfId="656" priority="4912" operator="between">
      <formula>"ITAÚ FILIAL"</formula>
      <formula>"ITAÚ FILIAL"</formula>
    </cfRule>
    <cfRule type="cellIs" dxfId="655" priority="4913" operator="between">
      <formula>"ITAÚ MATRIZ"</formula>
      <formula>"ITAÚ MATRIZ"</formula>
    </cfRule>
    <cfRule type="cellIs" dxfId="654" priority="4871" operator="equal">
      <formula>"ITAÚ"</formula>
    </cfRule>
    <cfRule type="cellIs" dxfId="653" priority="4874" operator="between">
      <formula>"DAYCOVAL"</formula>
      <formula>"DAYCOVAL"</formula>
    </cfRule>
    <cfRule type="cellIs" dxfId="652" priority="4873" operator="between">
      <formula>"SAFRA"</formula>
      <formula>"SAFRA"</formula>
    </cfRule>
  </conditionalFormatting>
  <conditionalFormatting sqref="I429:I436">
    <cfRule type="cellIs" dxfId="651" priority="5037" operator="equal">
      <formula>"ITAÚ MATRIZ"</formula>
    </cfRule>
    <cfRule type="cellIs" dxfId="650" priority="5045" operator="equal">
      <formula>"ITAÚ"</formula>
    </cfRule>
    <cfRule type="cellIs" dxfId="649" priority="5044" operator="equal">
      <formula>"ITAÚ"</formula>
    </cfRule>
    <cfRule type="cellIs" dxfId="648" priority="5040" operator="between">
      <formula>"DAYCOVAL"</formula>
      <formula>"DAYCOVAL"</formula>
    </cfRule>
    <cfRule type="cellIs" dxfId="647" priority="5039" operator="between">
      <formula>"SAFRA"</formula>
      <formula>"SAFRA"</formula>
    </cfRule>
    <cfRule type="cellIs" dxfId="646" priority="5038" operator="between">
      <formula>"SAFRA"</formula>
      <formula>"SAFRA"</formula>
    </cfRule>
  </conditionalFormatting>
  <conditionalFormatting sqref="I436">
    <cfRule type="cellIs" dxfId="645" priority="4966" operator="equal">
      <formula>"ITAÚ MATRIZ"</formula>
    </cfRule>
    <cfRule type="cellIs" dxfId="644" priority="4965" operator="equal">
      <formula>"ITAÚ"</formula>
    </cfRule>
    <cfRule type="cellIs" dxfId="643" priority="4958" operator="between">
      <formula>"SAFRA"</formula>
      <formula>"SAFRA"</formula>
    </cfRule>
    <cfRule type="cellIs" dxfId="642" priority="4957" operator="equal">
      <formula>"ITAÚ MATRIZ"</formula>
    </cfRule>
    <cfRule type="cellIs" dxfId="641" priority="4956" operator="equal">
      <formula>"ITAÚ"</formula>
    </cfRule>
    <cfRule type="cellIs" dxfId="640" priority="4955" operator="between">
      <formula>"ITAÚ MATRIZ"</formula>
      <formula>"ITAÚ MATRIZ"</formula>
    </cfRule>
    <cfRule type="cellIs" dxfId="639" priority="4954" operator="equal">
      <formula>"ITAÚ MATRIZ"</formula>
    </cfRule>
    <cfRule type="cellIs" dxfId="638" priority="4953" operator="equal">
      <formula>"ITAÚ"</formula>
    </cfRule>
    <cfRule type="cellIs" dxfId="637" priority="4952" operator="between">
      <formula>"ITAÚ FILIAL"</formula>
      <formula>"ITAÚ FILIAL"</formula>
    </cfRule>
    <cfRule type="cellIs" dxfId="636" priority="4951" operator="between">
      <formula>"ITAÚ FILIAL"</formula>
      <formula>"ITAÚ FILIAL"</formula>
    </cfRule>
    <cfRule type="cellIs" dxfId="635" priority="4950" operator="between">
      <formula>"DAYCOVAL"</formula>
      <formula>"DAYCOVAL"</formula>
    </cfRule>
    <cfRule type="cellIs" dxfId="634" priority="4949" operator="between">
      <formula>"SAFRA"</formula>
      <formula>"SAFRA"</formula>
    </cfRule>
    <cfRule type="cellIs" dxfId="633" priority="4948" operator="between">
      <formula>"SAFRA"</formula>
      <formula>"SAFRA"</formula>
    </cfRule>
    <cfRule type="cellIs" dxfId="632" priority="4947" operator="equal">
      <formula>"ITAÚ"</formula>
    </cfRule>
    <cfRule type="cellIs" dxfId="631" priority="4946" operator="equal">
      <formula>"ITAÚ"</formula>
    </cfRule>
    <cfRule type="cellIs" dxfId="630" priority="4945" operator="between">
      <formula>"ITAÚ MATRIZ"</formula>
      <formula>"ITAÚ MATRIZ"</formula>
    </cfRule>
    <cfRule type="cellIs" dxfId="629" priority="4944" operator="between">
      <formula>"ITAÚ FILIAL"</formula>
      <formula>"ITAÚ FILIAL"</formula>
    </cfRule>
    <cfRule type="cellIs" dxfId="628" priority="4943" operator="between">
      <formula>"ITAÚ FILIAL"</formula>
      <formula>"ITAÚ FILIAL"</formula>
    </cfRule>
    <cfRule type="cellIs" dxfId="627" priority="4942" operator="between">
      <formula>"DAYCOVAL"</formula>
      <formula>"DAYCOVAL"</formula>
    </cfRule>
    <cfRule type="cellIs" dxfId="626" priority="4941" operator="between">
      <formula>"SAFRA"</formula>
      <formula>"SAFRA"</formula>
    </cfRule>
    <cfRule type="cellIs" dxfId="625" priority="4940" operator="between">
      <formula>"SAFRA"</formula>
      <formula>"SAFRA"</formula>
    </cfRule>
    <cfRule type="cellIs" dxfId="624" priority="4939" operator="equal">
      <formula>"ITAÚ MATRIZ"</formula>
    </cfRule>
    <cfRule type="cellIs" dxfId="623" priority="4970" operator="between">
      <formula>"ITAÚ FILIAL"</formula>
      <formula>"ITAÚ FILIAL"</formula>
    </cfRule>
    <cfRule type="cellIs" dxfId="622" priority="4971" operator="between">
      <formula>"ITAÚ FILIAL"</formula>
      <formula>"ITAÚ FILIAL"</formula>
    </cfRule>
    <cfRule type="cellIs" dxfId="621" priority="4972" operator="between">
      <formula>"ITAÚ MATRIZ"</formula>
      <formula>"ITAÚ MATRIZ"</formula>
    </cfRule>
    <cfRule type="cellIs" dxfId="620" priority="4973" operator="equal">
      <formula>"ITAÚ"</formula>
    </cfRule>
    <cfRule type="cellIs" dxfId="619" priority="4974" operator="equal">
      <formula>"ITAÚ"</formula>
    </cfRule>
    <cfRule type="cellIs" dxfId="618" priority="4975" operator="equal">
      <formula>"ITAÚ MATRIZ"</formula>
    </cfRule>
    <cfRule type="cellIs" dxfId="617" priority="4976" operator="between">
      <formula>"SAFRA"</formula>
      <formula>"SAFRA"</formula>
    </cfRule>
    <cfRule type="cellIs" dxfId="616" priority="4977" operator="between">
      <formula>"SAFRA"</formula>
      <formula>"SAFRA"</formula>
    </cfRule>
    <cfRule type="cellIs" dxfId="615" priority="4978" operator="between">
      <formula>"DAYCOVAL"</formula>
      <formula>"DAYCOVAL"</formula>
    </cfRule>
    <cfRule type="cellIs" dxfId="614" priority="4979" operator="between">
      <formula>"ITAÚ FILIAL"</formula>
      <formula>"ITAÚ FILIAL"</formula>
    </cfRule>
    <cfRule type="cellIs" dxfId="613" priority="4980" operator="between">
      <formula>"ITAÚ FILIAL"</formula>
      <formula>"ITAÚ FILIAL"</formula>
    </cfRule>
    <cfRule type="cellIs" dxfId="612" priority="4981" operator="between">
      <formula>"ITAÚ MATRIZ"</formula>
      <formula>"ITAÚ MATRIZ"</formula>
    </cfRule>
    <cfRule type="cellIs" dxfId="611" priority="4982" operator="equal">
      <formula>"ITAÚ"</formula>
    </cfRule>
    <cfRule type="cellIs" dxfId="610" priority="4983" operator="equal">
      <formula>"ITAÚ"</formula>
    </cfRule>
    <cfRule type="cellIs" dxfId="609" priority="4984" operator="equal">
      <formula>"ITAÚ MATRIZ"</formula>
    </cfRule>
    <cfRule type="cellIs" dxfId="608" priority="4960" operator="between">
      <formula>"DAYCOVAL"</formula>
      <formula>"DAYCOVAL"</formula>
    </cfRule>
    <cfRule type="cellIs" dxfId="607" priority="4961" operator="between">
      <formula>"ITAÚ FILIAL"</formula>
      <formula>"ITAÚ FILIAL"</formula>
    </cfRule>
    <cfRule type="cellIs" dxfId="606" priority="4985" operator="between">
      <formula>"SAFRA"</formula>
      <formula>"SAFRA"</formula>
    </cfRule>
    <cfRule type="cellIs" dxfId="605" priority="4986" operator="between">
      <formula>"SAFRA"</formula>
      <formula>"SAFRA"</formula>
    </cfRule>
    <cfRule type="cellIs" dxfId="604" priority="4987" operator="between">
      <formula>"DAYCOVAL"</formula>
      <formula>"DAYCOVAL"</formula>
    </cfRule>
    <cfRule type="cellIs" dxfId="603" priority="4988" operator="between">
      <formula>"ITAÚ FILIAL"</formula>
      <formula>"ITAÚ FILIAL"</formula>
    </cfRule>
    <cfRule type="cellIs" dxfId="602" priority="4989" operator="between">
      <formula>"ITAÚ FILIAL"</formula>
      <formula>"ITAÚ FILIAL"</formula>
    </cfRule>
    <cfRule type="cellIs" dxfId="601" priority="4990" operator="between">
      <formula>"ITAÚ MATRIZ"</formula>
      <formula>"ITAÚ MATRIZ"</formula>
    </cfRule>
    <cfRule type="cellIs" dxfId="600" priority="4959" operator="between">
      <formula>"SAFRA"</formula>
      <formula>"SAFRA"</formula>
    </cfRule>
    <cfRule type="cellIs" dxfId="599" priority="4991" operator="equal">
      <formula>"ITAÚ"</formula>
    </cfRule>
    <cfRule type="cellIs" dxfId="598" priority="4992" operator="equal">
      <formula>"ITAÚ"</formula>
    </cfRule>
    <cfRule type="cellIs" dxfId="597" priority="4993" operator="equal">
      <formula>"ITAÚ MATRIZ"</formula>
    </cfRule>
    <cfRule type="cellIs" dxfId="596" priority="4994" operator="between">
      <formula>"SAFRA"</formula>
      <formula>"SAFRA"</formula>
    </cfRule>
    <cfRule type="cellIs" dxfId="595" priority="4995" operator="between">
      <formula>"SAFRA"</formula>
      <formula>"SAFRA"</formula>
    </cfRule>
    <cfRule type="cellIs" dxfId="594" priority="4996" operator="between">
      <formula>"DAYCOVAL"</formula>
      <formula>"DAYCOVAL"</formula>
    </cfRule>
    <cfRule type="cellIs" dxfId="593" priority="4997" operator="between">
      <formula>"ITAÚ FILIAL"</formula>
      <formula>"ITAÚ FILIAL"</formula>
    </cfRule>
    <cfRule type="cellIs" dxfId="592" priority="4998" operator="between">
      <formula>"ITAÚ FILIAL"</formula>
      <formula>"ITAÚ FILIAL"</formula>
    </cfRule>
    <cfRule type="cellIs" dxfId="591" priority="4999" operator="between">
      <formula>"ITAÚ MATRIZ"</formula>
      <formula>"ITAÚ MATRIZ"</formula>
    </cfRule>
    <cfRule type="cellIs" dxfId="590" priority="5000" operator="equal">
      <formula>"ITAÚ"</formula>
    </cfRule>
    <cfRule type="cellIs" dxfId="589" priority="5001" operator="equal">
      <formula>"ITAÚ"</formula>
    </cfRule>
    <cfRule type="cellIs" dxfId="588" priority="5002" operator="between">
      <formula>"SAFRA"</formula>
      <formula>"SAFRA"</formula>
    </cfRule>
    <cfRule type="cellIs" dxfId="587" priority="5003" operator="between">
      <formula>"SAFRA"</formula>
      <formula>"SAFRA"</formula>
    </cfRule>
    <cfRule type="cellIs" dxfId="586" priority="5004" operator="between">
      <formula>"DAYCOVAL"</formula>
      <formula>"DAYCOVAL"</formula>
    </cfRule>
    <cfRule type="cellIs" dxfId="585" priority="5005" operator="between">
      <formula>"ITAÚ FILIAL"</formula>
      <formula>"ITAÚ FILIAL"</formula>
    </cfRule>
    <cfRule type="cellIs" dxfId="584" priority="5006" operator="between">
      <formula>"ITAÚ FILIAL"</formula>
      <formula>"ITAÚ FILIAL"</formula>
    </cfRule>
    <cfRule type="cellIs" dxfId="583" priority="5007" operator="equal">
      <formula>"ITAÚ"</formula>
    </cfRule>
    <cfRule type="cellIs" dxfId="582" priority="5008" operator="equal">
      <formula>"ITAÚ MATRIZ"</formula>
    </cfRule>
    <cfRule type="cellIs" dxfId="581" priority="5009" operator="between">
      <formula>"ITAÚ MATRIZ"</formula>
      <formula>"ITAÚ MATRIZ"</formula>
    </cfRule>
    <cfRule type="cellIs" dxfId="580" priority="5010" operator="equal">
      <formula>"ITAÚ"</formula>
    </cfRule>
    <cfRule type="cellIs" dxfId="579" priority="5011" operator="equal">
      <formula>"ITAÚ MATRIZ"</formula>
    </cfRule>
    <cfRule type="cellIs" dxfId="578" priority="5012" operator="between">
      <formula>"SAFRA"</formula>
      <formula>"SAFRA"</formula>
    </cfRule>
    <cfRule type="cellIs" dxfId="577" priority="5013" operator="between">
      <formula>"SAFRA"</formula>
      <formula>"SAFRA"</formula>
    </cfRule>
    <cfRule type="cellIs" dxfId="576" priority="5014" operator="between">
      <formula>"DAYCOVAL"</formula>
      <formula>"DAYCOVAL"</formula>
    </cfRule>
    <cfRule type="cellIs" dxfId="575" priority="5015" operator="between">
      <formula>"ITAÚ FILIAL"</formula>
      <formula>"ITAÚ FILIAL"</formula>
    </cfRule>
    <cfRule type="cellIs" dxfId="574" priority="5016" operator="between">
      <formula>"ITAÚ FILIAL"</formula>
      <formula>"ITAÚ FILIAL"</formula>
    </cfRule>
    <cfRule type="cellIs" dxfId="573" priority="5017" operator="between">
      <formula>"ITAÚ MATRIZ"</formula>
      <formula>"ITAÚ MATRIZ"</formula>
    </cfRule>
    <cfRule type="cellIs" dxfId="572" priority="5018" operator="equal">
      <formula>"ITAÚ"</formula>
    </cfRule>
    <cfRule type="cellIs" dxfId="571" priority="5019" operator="equal">
      <formula>"ITAÚ"</formula>
    </cfRule>
    <cfRule type="cellIs" dxfId="570" priority="5020" operator="between">
      <formula>"SAFRA"</formula>
      <formula>"SAFRA"</formula>
    </cfRule>
    <cfRule type="cellIs" dxfId="569" priority="5021" operator="between">
      <formula>"SAFRA"</formula>
      <formula>"SAFRA"</formula>
    </cfRule>
    <cfRule type="cellIs" dxfId="568" priority="5022" operator="between">
      <formula>"DAYCOVAL"</formula>
      <formula>"DAYCOVAL"</formula>
    </cfRule>
    <cfRule type="cellIs" dxfId="567" priority="5023" operator="between">
      <formula>"ITAÚ FILIAL"</formula>
      <formula>"ITAÚ FILIAL"</formula>
    </cfRule>
    <cfRule type="cellIs" dxfId="566" priority="5024" operator="between">
      <formula>"ITAÚ FILIAL"</formula>
      <formula>"ITAÚ FILIAL"</formula>
    </cfRule>
    <cfRule type="cellIs" dxfId="565" priority="5025" operator="equal">
      <formula>"ITAÚ"</formula>
    </cfRule>
    <cfRule type="cellIs" dxfId="564" priority="5026" operator="equal">
      <formula>"ITAÚ MATRIZ"</formula>
    </cfRule>
    <cfRule type="cellIs" dxfId="563" priority="5027" operator="between">
      <formula>"ITAÚ MATRIZ"</formula>
      <formula>"ITAÚ MATRIZ"</formula>
    </cfRule>
    <cfRule type="cellIs" dxfId="562" priority="5028" operator="equal">
      <formula>"ITAÚ MATRIZ"</formula>
    </cfRule>
    <cfRule type="cellIs" dxfId="561" priority="5029" operator="between">
      <formula>"SAFRA"</formula>
      <formula>"SAFRA"</formula>
    </cfRule>
    <cfRule type="cellIs" dxfId="560" priority="5030" operator="between">
      <formula>"SAFRA"</formula>
      <formula>"SAFRA"</formula>
    </cfRule>
    <cfRule type="cellIs" dxfId="559" priority="5031" operator="between">
      <formula>"DAYCOVAL"</formula>
      <formula>"DAYCOVAL"</formula>
    </cfRule>
    <cfRule type="cellIs" dxfId="558" priority="5032" operator="between">
      <formula>"ITAÚ FILIAL"</formula>
      <formula>"ITAÚ FILIAL"</formula>
    </cfRule>
    <cfRule type="cellIs" dxfId="557" priority="5033" operator="between">
      <formula>"ITAÚ FILIAL"</formula>
      <formula>"ITAÚ FILIAL"</formula>
    </cfRule>
    <cfRule type="cellIs" dxfId="556" priority="5034" operator="between">
      <formula>"ITAÚ MATRIZ"</formula>
      <formula>"ITAÚ MATRIZ"</formula>
    </cfRule>
    <cfRule type="cellIs" dxfId="555" priority="5036" operator="equal">
      <formula>"ITAÚ"</formula>
    </cfRule>
    <cfRule type="cellIs" dxfId="554" priority="4968" operator="between">
      <formula>"SAFRA"</formula>
      <formula>"SAFRA"</formula>
    </cfRule>
    <cfRule type="cellIs" dxfId="553" priority="4967" operator="between">
      <formula>"SAFRA"</formula>
      <formula>"SAFRA"</formula>
    </cfRule>
    <cfRule type="cellIs" dxfId="552" priority="4962" operator="between">
      <formula>"ITAÚ FILIAL"</formula>
      <formula>"ITAÚ FILIAL"</formula>
    </cfRule>
    <cfRule type="cellIs" dxfId="551" priority="4963" operator="between">
      <formula>"ITAÚ MATRIZ"</formula>
      <formula>"ITAÚ MATRIZ"</formula>
    </cfRule>
    <cfRule type="cellIs" dxfId="550" priority="5041" operator="between">
      <formula>"ITAÚ FILIAL"</formula>
      <formula>"ITAÚ FILIAL"</formula>
    </cfRule>
    <cfRule type="cellIs" dxfId="549" priority="5042" operator="between">
      <formula>"ITAÚ FILIAL"</formula>
      <formula>"ITAÚ FILIAL"</formula>
    </cfRule>
    <cfRule type="cellIs" dxfId="548" priority="5043" operator="between">
      <formula>"ITAÚ MATRIZ"</formula>
      <formula>"ITAÚ MATRIZ"</formula>
    </cfRule>
    <cfRule type="cellIs" dxfId="547" priority="4964" operator="equal">
      <formula>"ITAÚ"</formula>
    </cfRule>
    <cfRule type="cellIs" dxfId="546" priority="4969" operator="between">
      <formula>"DAYCOVAL"</formula>
      <formula>"DAYCOVAL"</formula>
    </cfRule>
  </conditionalFormatting>
  <conditionalFormatting sqref="I437:I451">
    <cfRule type="cellIs" dxfId="545" priority="5170" operator="between">
      <formula>"SAFRA"</formula>
      <formula>"SAFRA"</formula>
    </cfRule>
    <cfRule type="cellIs" dxfId="544" priority="5169" operator="between">
      <formula>"SAFRA"</formula>
      <formula>"SAFRA"</formula>
    </cfRule>
    <cfRule type="cellIs" dxfId="543" priority="5168" operator="equal">
      <formula>"ITAÚ MATRIZ"</formula>
    </cfRule>
    <cfRule type="cellIs" dxfId="542" priority="5171" operator="between">
      <formula>"DAYCOVAL"</formula>
      <formula>"DAYCOVAL"</formula>
    </cfRule>
    <cfRule type="cellIs" dxfId="541" priority="5175" operator="equal">
      <formula>"ITAÚ"</formula>
    </cfRule>
    <cfRule type="cellIs" dxfId="540" priority="5176" operator="equal">
      <formula>"ITAÚ"</formula>
    </cfRule>
  </conditionalFormatting>
  <conditionalFormatting sqref="I451">
    <cfRule type="cellIs" dxfId="539" priority="5088" operator="equal">
      <formula>"ITAÚ MATRIZ"</formula>
    </cfRule>
    <cfRule type="cellIs" dxfId="538" priority="5095" operator="equal">
      <formula>"ITAÚ"</formula>
    </cfRule>
    <cfRule type="cellIs" dxfId="537" priority="5112" operator="between">
      <formula>"ITAÚ MATRIZ"</formula>
      <formula>"ITAÚ MATRIZ"</formula>
    </cfRule>
    <cfRule type="cellIs" dxfId="536" priority="5172" operator="between">
      <formula>"ITAÚ FILIAL"</formula>
      <formula>"ITAÚ FILIAL"</formula>
    </cfRule>
    <cfRule type="cellIs" dxfId="535" priority="5173" operator="between">
      <formula>"ITAÚ FILIAL"</formula>
      <formula>"ITAÚ FILIAL"</formula>
    </cfRule>
    <cfRule type="cellIs" dxfId="534" priority="5174" operator="between">
      <formula>"ITAÚ MATRIZ"</formula>
      <formula>"ITAÚ MATRIZ"</formula>
    </cfRule>
    <cfRule type="cellIs" dxfId="533" priority="5070" operator="equal">
      <formula>"ITAÚ MATRIZ"</formula>
    </cfRule>
    <cfRule type="cellIs" dxfId="532" priority="5071" operator="between">
      <formula>"SAFRA"</formula>
      <formula>"SAFRA"</formula>
    </cfRule>
    <cfRule type="cellIs" dxfId="531" priority="5072" operator="between">
      <formula>"SAFRA"</formula>
      <formula>"SAFRA"</formula>
    </cfRule>
    <cfRule type="cellIs" dxfId="530" priority="5073" operator="between">
      <formula>"DAYCOVAL"</formula>
      <formula>"DAYCOVAL"</formula>
    </cfRule>
    <cfRule type="cellIs" dxfId="529" priority="5074" operator="between">
      <formula>"ITAÚ FILIAL"</formula>
      <formula>"ITAÚ FILIAL"</formula>
    </cfRule>
    <cfRule type="cellIs" dxfId="528" priority="5075" operator="between">
      <formula>"ITAÚ FILIAL"</formula>
      <formula>"ITAÚ FILIAL"</formula>
    </cfRule>
    <cfRule type="cellIs" dxfId="527" priority="5076" operator="between">
      <formula>"ITAÚ MATRIZ"</formula>
      <formula>"ITAÚ MATRIZ"</formula>
    </cfRule>
    <cfRule type="cellIs" dxfId="526" priority="5077" operator="equal">
      <formula>"ITAÚ"</formula>
    </cfRule>
    <cfRule type="cellIs" dxfId="525" priority="5078" operator="equal">
      <formula>"ITAÚ"</formula>
    </cfRule>
    <cfRule type="cellIs" dxfId="524" priority="5079" operator="between">
      <formula>"SAFRA"</formula>
      <formula>"SAFRA"</formula>
    </cfRule>
    <cfRule type="cellIs" dxfId="523" priority="5080" operator="between">
      <formula>"SAFRA"</formula>
      <formula>"SAFRA"</formula>
    </cfRule>
    <cfRule type="cellIs" dxfId="522" priority="5081" operator="between">
      <formula>"DAYCOVAL"</formula>
      <formula>"DAYCOVAL"</formula>
    </cfRule>
    <cfRule type="cellIs" dxfId="521" priority="5089" operator="between">
      <formula>"SAFRA"</formula>
      <formula>"SAFRA"</formula>
    </cfRule>
    <cfRule type="cellIs" dxfId="520" priority="5090" operator="between">
      <formula>"SAFRA"</formula>
      <formula>"SAFRA"</formula>
    </cfRule>
    <cfRule type="cellIs" dxfId="519" priority="5082" operator="between">
      <formula>"ITAÚ FILIAL"</formula>
      <formula>"ITAÚ FILIAL"</formula>
    </cfRule>
    <cfRule type="cellIs" dxfId="518" priority="5083" operator="between">
      <formula>"ITAÚ FILIAL"</formula>
      <formula>"ITAÚ FILIAL"</formula>
    </cfRule>
    <cfRule type="cellIs" dxfId="517" priority="5084" operator="equal">
      <formula>"ITAÚ"</formula>
    </cfRule>
    <cfRule type="cellIs" dxfId="516" priority="5091" operator="between">
      <formula>"DAYCOVAL"</formula>
      <formula>"DAYCOVAL"</formula>
    </cfRule>
    <cfRule type="cellIs" dxfId="515" priority="5092" operator="between">
      <formula>"ITAÚ FILIAL"</formula>
      <formula>"ITAÚ FILIAL"</formula>
    </cfRule>
    <cfRule type="cellIs" dxfId="514" priority="5093" operator="between">
      <formula>"ITAÚ FILIAL"</formula>
      <formula>"ITAÚ FILIAL"</formula>
    </cfRule>
    <cfRule type="cellIs" dxfId="513" priority="5094" operator="between">
      <formula>"ITAÚ MATRIZ"</formula>
      <formula>"ITAÚ MATRIZ"</formula>
    </cfRule>
    <cfRule type="cellIs" dxfId="512" priority="5167" operator="equal">
      <formula>"ITAÚ"</formula>
    </cfRule>
    <cfRule type="cellIs" dxfId="511" priority="5165" operator="between">
      <formula>"ITAÚ MATRIZ"</formula>
      <formula>"ITAÚ MATRIZ"</formula>
    </cfRule>
    <cfRule type="cellIs" dxfId="510" priority="5164" operator="between">
      <formula>"ITAÚ FILIAL"</formula>
      <formula>"ITAÚ FILIAL"</formula>
    </cfRule>
    <cfRule type="cellIs" dxfId="509" priority="5163" operator="between">
      <formula>"ITAÚ FILIAL"</formula>
      <formula>"ITAÚ FILIAL"</formula>
    </cfRule>
    <cfRule type="cellIs" dxfId="508" priority="5162" operator="between">
      <formula>"DAYCOVAL"</formula>
      <formula>"DAYCOVAL"</formula>
    </cfRule>
    <cfRule type="cellIs" dxfId="507" priority="5161" operator="between">
      <formula>"SAFRA"</formula>
      <formula>"SAFRA"</formula>
    </cfRule>
    <cfRule type="cellIs" dxfId="506" priority="5160" operator="between">
      <formula>"SAFRA"</formula>
      <formula>"SAFRA"</formula>
    </cfRule>
    <cfRule type="cellIs" dxfId="505" priority="5159" operator="equal">
      <formula>"ITAÚ MATRIZ"</formula>
    </cfRule>
    <cfRule type="cellIs" dxfId="504" priority="5158" operator="between">
      <formula>"ITAÚ MATRIZ"</formula>
      <formula>"ITAÚ MATRIZ"</formula>
    </cfRule>
    <cfRule type="cellIs" dxfId="503" priority="5157" operator="equal">
      <formula>"ITAÚ MATRIZ"</formula>
    </cfRule>
    <cfRule type="cellIs" dxfId="502" priority="5085" operator="equal">
      <formula>"ITAÚ MATRIZ"</formula>
    </cfRule>
    <cfRule type="cellIs" dxfId="501" priority="5086" operator="between">
      <formula>"ITAÚ MATRIZ"</formula>
      <formula>"ITAÚ MATRIZ"</formula>
    </cfRule>
    <cfRule type="cellIs" dxfId="500" priority="5087" operator="equal">
      <formula>"ITAÚ"</formula>
    </cfRule>
    <cfRule type="cellIs" dxfId="499" priority="5156" operator="equal">
      <formula>"ITAÚ"</formula>
    </cfRule>
    <cfRule type="cellIs" dxfId="498" priority="5155" operator="between">
      <formula>"ITAÚ FILIAL"</formula>
      <formula>"ITAÚ FILIAL"</formula>
    </cfRule>
    <cfRule type="cellIs" dxfId="497" priority="5154" operator="between">
      <formula>"ITAÚ FILIAL"</formula>
      <formula>"ITAÚ FILIAL"</formula>
    </cfRule>
    <cfRule type="cellIs" dxfId="496" priority="5153" operator="between">
      <formula>"DAYCOVAL"</formula>
      <formula>"DAYCOVAL"</formula>
    </cfRule>
    <cfRule type="cellIs" dxfId="495" priority="5152" operator="between">
      <formula>"SAFRA"</formula>
      <formula>"SAFRA"</formula>
    </cfRule>
    <cfRule type="cellIs" dxfId="494" priority="5151" operator="between">
      <formula>"SAFRA"</formula>
      <formula>"SAFRA"</formula>
    </cfRule>
    <cfRule type="cellIs" dxfId="493" priority="5150" operator="equal">
      <formula>"ITAÚ"</formula>
    </cfRule>
    <cfRule type="cellIs" dxfId="492" priority="5149" operator="equal">
      <formula>"ITAÚ"</formula>
    </cfRule>
    <cfRule type="cellIs" dxfId="491" priority="5148" operator="between">
      <formula>"ITAÚ MATRIZ"</formula>
      <formula>"ITAÚ MATRIZ"</formula>
    </cfRule>
    <cfRule type="cellIs" dxfId="490" priority="5147" operator="between">
      <formula>"ITAÚ FILIAL"</formula>
      <formula>"ITAÚ FILIAL"</formula>
    </cfRule>
    <cfRule type="cellIs" dxfId="489" priority="5146" operator="between">
      <formula>"ITAÚ FILIAL"</formula>
      <formula>"ITAÚ FILIAL"</formula>
    </cfRule>
    <cfRule type="cellIs" dxfId="488" priority="5145" operator="between">
      <formula>"DAYCOVAL"</formula>
      <formula>"DAYCOVAL"</formula>
    </cfRule>
    <cfRule type="cellIs" dxfId="487" priority="5144" operator="between">
      <formula>"SAFRA"</formula>
      <formula>"SAFRA"</formula>
    </cfRule>
    <cfRule type="cellIs" dxfId="486" priority="5143" operator="between">
      <formula>"SAFRA"</formula>
      <formula>"SAFRA"</formula>
    </cfRule>
    <cfRule type="cellIs" dxfId="485" priority="5142" operator="equal">
      <formula>"ITAÚ MATRIZ"</formula>
    </cfRule>
    <cfRule type="cellIs" dxfId="484" priority="5141" operator="equal">
      <formula>"ITAÚ"</formula>
    </cfRule>
    <cfRule type="cellIs" dxfId="483" priority="5140" operator="between">
      <formula>"ITAÚ MATRIZ"</formula>
      <formula>"ITAÚ MATRIZ"</formula>
    </cfRule>
    <cfRule type="cellIs" dxfId="482" priority="5139" operator="equal">
      <formula>"ITAÚ MATRIZ"</formula>
    </cfRule>
    <cfRule type="cellIs" dxfId="481" priority="5138" operator="equal">
      <formula>"ITAÚ"</formula>
    </cfRule>
    <cfRule type="cellIs" dxfId="480" priority="5137" operator="between">
      <formula>"ITAÚ FILIAL"</formula>
      <formula>"ITAÚ FILIAL"</formula>
    </cfRule>
    <cfRule type="cellIs" dxfId="479" priority="5136" operator="between">
      <formula>"ITAÚ FILIAL"</formula>
      <formula>"ITAÚ FILIAL"</formula>
    </cfRule>
    <cfRule type="cellIs" dxfId="478" priority="5135" operator="between">
      <formula>"DAYCOVAL"</formula>
      <formula>"DAYCOVAL"</formula>
    </cfRule>
    <cfRule type="cellIs" dxfId="477" priority="5134" operator="between">
      <formula>"SAFRA"</formula>
      <formula>"SAFRA"</formula>
    </cfRule>
    <cfRule type="cellIs" dxfId="476" priority="5133" operator="between">
      <formula>"SAFRA"</formula>
      <formula>"SAFRA"</formula>
    </cfRule>
    <cfRule type="cellIs" dxfId="475" priority="5132" operator="equal">
      <formula>"ITAÚ"</formula>
    </cfRule>
    <cfRule type="cellIs" dxfId="474" priority="5131" operator="equal">
      <formula>"ITAÚ"</formula>
    </cfRule>
    <cfRule type="cellIs" dxfId="473" priority="5130" operator="between">
      <formula>"ITAÚ MATRIZ"</formula>
      <formula>"ITAÚ MATRIZ"</formula>
    </cfRule>
    <cfRule type="cellIs" dxfId="472" priority="5129" operator="between">
      <formula>"ITAÚ FILIAL"</formula>
      <formula>"ITAÚ FILIAL"</formula>
    </cfRule>
    <cfRule type="cellIs" dxfId="471" priority="5128" operator="between">
      <formula>"ITAÚ FILIAL"</formula>
      <formula>"ITAÚ FILIAL"</formula>
    </cfRule>
    <cfRule type="cellIs" dxfId="470" priority="5127" operator="between">
      <formula>"DAYCOVAL"</formula>
      <formula>"DAYCOVAL"</formula>
    </cfRule>
    <cfRule type="cellIs" dxfId="469" priority="5126" operator="between">
      <formula>"SAFRA"</formula>
      <formula>"SAFRA"</formula>
    </cfRule>
    <cfRule type="cellIs" dxfId="468" priority="5125" operator="between">
      <formula>"SAFRA"</formula>
      <formula>"SAFRA"</formula>
    </cfRule>
    <cfRule type="cellIs" dxfId="467" priority="5124" operator="equal">
      <formula>"ITAÚ MATRIZ"</formula>
    </cfRule>
    <cfRule type="cellIs" dxfId="466" priority="5123" operator="equal">
      <formula>"ITAÚ"</formula>
    </cfRule>
    <cfRule type="cellIs" dxfId="465" priority="5122" operator="equal">
      <formula>"ITAÚ"</formula>
    </cfRule>
    <cfRule type="cellIs" dxfId="464" priority="5121" operator="between">
      <formula>"ITAÚ MATRIZ"</formula>
      <formula>"ITAÚ MATRIZ"</formula>
    </cfRule>
    <cfRule type="cellIs" dxfId="463" priority="5120" operator="between">
      <formula>"ITAÚ FILIAL"</formula>
      <formula>"ITAÚ FILIAL"</formula>
    </cfRule>
    <cfRule type="cellIs" dxfId="462" priority="5119" operator="between">
      <formula>"ITAÚ FILIAL"</formula>
      <formula>"ITAÚ FILIAL"</formula>
    </cfRule>
    <cfRule type="cellIs" dxfId="461" priority="5118" operator="between">
      <formula>"DAYCOVAL"</formula>
      <formula>"DAYCOVAL"</formula>
    </cfRule>
    <cfRule type="cellIs" dxfId="460" priority="5117" operator="between">
      <formula>"SAFRA"</formula>
      <formula>"SAFRA"</formula>
    </cfRule>
    <cfRule type="cellIs" dxfId="459" priority="5116" operator="between">
      <formula>"SAFRA"</formula>
      <formula>"SAFRA"</formula>
    </cfRule>
    <cfRule type="cellIs" dxfId="458" priority="5115" operator="equal">
      <formula>"ITAÚ MATRIZ"</formula>
    </cfRule>
    <cfRule type="cellIs" dxfId="457" priority="5113" operator="equal">
      <formula>"ITAÚ"</formula>
    </cfRule>
    <cfRule type="cellIs" dxfId="456" priority="5111" operator="between">
      <formula>"ITAÚ FILIAL"</formula>
      <formula>"ITAÚ FILIAL"</formula>
    </cfRule>
    <cfRule type="cellIs" dxfId="455" priority="5110" operator="between">
      <formula>"ITAÚ FILIAL"</formula>
      <formula>"ITAÚ FILIAL"</formula>
    </cfRule>
    <cfRule type="cellIs" dxfId="454" priority="5109" operator="between">
      <formula>"DAYCOVAL"</formula>
      <formula>"DAYCOVAL"</formula>
    </cfRule>
    <cfRule type="cellIs" dxfId="453" priority="5108" operator="between">
      <formula>"SAFRA"</formula>
      <formula>"SAFRA"</formula>
    </cfRule>
    <cfRule type="cellIs" dxfId="452" priority="5107" operator="between">
      <formula>"SAFRA"</formula>
      <formula>"SAFRA"</formula>
    </cfRule>
    <cfRule type="cellIs" dxfId="451" priority="5106" operator="equal">
      <formula>"ITAÚ MATRIZ"</formula>
    </cfRule>
    <cfRule type="cellIs" dxfId="450" priority="5105" operator="equal">
      <formula>"ITAÚ"</formula>
    </cfRule>
    <cfRule type="cellIs" dxfId="449" priority="5104" operator="equal">
      <formula>"ITAÚ"</formula>
    </cfRule>
    <cfRule type="cellIs" dxfId="448" priority="5103" operator="between">
      <formula>"ITAÚ MATRIZ"</formula>
      <formula>"ITAÚ MATRIZ"</formula>
    </cfRule>
    <cfRule type="cellIs" dxfId="447" priority="5102" operator="between">
      <formula>"ITAÚ FILIAL"</formula>
      <formula>"ITAÚ FILIAL"</formula>
    </cfRule>
    <cfRule type="cellIs" dxfId="446" priority="5101" operator="between">
      <formula>"ITAÚ FILIAL"</formula>
      <formula>"ITAÚ FILIAL"</formula>
    </cfRule>
    <cfRule type="cellIs" dxfId="445" priority="5100" operator="between">
      <formula>"DAYCOVAL"</formula>
      <formula>"DAYCOVAL"</formula>
    </cfRule>
    <cfRule type="cellIs" dxfId="444" priority="5099" operator="between">
      <formula>"SAFRA"</formula>
      <formula>"SAFRA"</formula>
    </cfRule>
    <cfRule type="cellIs" dxfId="443" priority="5098" operator="between">
      <formula>"SAFRA"</formula>
      <formula>"SAFRA"</formula>
    </cfRule>
    <cfRule type="cellIs" dxfId="442" priority="5097" operator="equal">
      <formula>"ITAÚ MATRIZ"</formula>
    </cfRule>
    <cfRule type="cellIs" dxfId="441" priority="5096" operator="equal">
      <formula>"ITAÚ"</formula>
    </cfRule>
    <cfRule type="cellIs" dxfId="440" priority="5114" operator="equal">
      <formula>"ITAÚ"</formula>
    </cfRule>
  </conditionalFormatting>
  <conditionalFormatting sqref="I452:I475">
    <cfRule type="cellIs" dxfId="439" priority="5298" operator="equal">
      <formula>"ITAÚ MATRIZ"</formula>
    </cfRule>
    <cfRule type="cellIs" dxfId="438" priority="5299" operator="between">
      <formula>"SAFRA"</formula>
      <formula>"SAFRA"</formula>
    </cfRule>
    <cfRule type="cellIs" dxfId="437" priority="5300" operator="between">
      <formula>"SAFRA"</formula>
      <formula>"SAFRA"</formula>
    </cfRule>
    <cfRule type="cellIs" dxfId="436" priority="5301" operator="between">
      <formula>"DAYCOVAL"</formula>
      <formula>"DAYCOVAL"</formula>
    </cfRule>
    <cfRule type="cellIs" dxfId="435" priority="5305" operator="equal">
      <formula>"ITAÚ"</formula>
    </cfRule>
    <cfRule type="cellIs" dxfId="434" priority="5306" operator="equal">
      <formula>"ITAÚ"</formula>
    </cfRule>
  </conditionalFormatting>
  <conditionalFormatting sqref="I459">
    <cfRule type="cellIs" dxfId="433" priority="5282" operator="between">
      <formula>"SAFRA"</formula>
      <formula>"SAFRA"</formula>
    </cfRule>
    <cfRule type="cellIs" dxfId="432" priority="5288" operator="between">
      <formula>"ITAÚ MATRIZ"</formula>
      <formula>"ITAÚ MATRIZ"</formula>
    </cfRule>
    <cfRule type="cellIs" dxfId="431" priority="5279" operator="equal">
      <formula>"ITAÚ"</formula>
    </cfRule>
    <cfRule type="cellIs" dxfId="430" priority="5278" operator="between">
      <formula>"ITAÚ MATRIZ"</formula>
      <formula>"ITAÚ MATRIZ"</formula>
    </cfRule>
    <cfRule type="cellIs" dxfId="429" priority="5277" operator="between">
      <formula>"ITAÚ FILIAL"</formula>
      <formula>"ITAÚ FILIAL"</formula>
    </cfRule>
    <cfRule type="cellIs" dxfId="428" priority="5276" operator="between">
      <formula>"ITAÚ FILIAL"</formula>
      <formula>"ITAÚ FILIAL"</formula>
    </cfRule>
    <cfRule type="cellIs" dxfId="427" priority="5275" operator="between">
      <formula>"DAYCOVAL"</formula>
      <formula>"DAYCOVAL"</formula>
    </cfRule>
    <cfRule type="cellIs" dxfId="426" priority="5274" operator="between">
      <formula>"SAFRA"</formula>
      <formula>"SAFRA"</formula>
    </cfRule>
    <cfRule type="cellIs" dxfId="425" priority="5273" operator="between">
      <formula>"SAFRA"</formula>
      <formula>"SAFRA"</formula>
    </cfRule>
    <cfRule type="cellIs" dxfId="424" priority="5272" operator="equal">
      <formula>"ITAÚ MATRIZ"</formula>
    </cfRule>
    <cfRule type="cellIs" dxfId="423" priority="5271" operator="equal">
      <formula>"ITAÚ"</formula>
    </cfRule>
    <cfRule type="cellIs" dxfId="422" priority="5270" operator="between">
      <formula>"ITAÚ MATRIZ"</formula>
      <formula>"ITAÚ MATRIZ"</formula>
    </cfRule>
    <cfRule type="cellIs" dxfId="421" priority="5269" operator="equal">
      <formula>"ITAÚ MATRIZ"</formula>
    </cfRule>
    <cfRule type="cellIs" dxfId="420" priority="5268" operator="equal">
      <formula>"ITAÚ"</formula>
    </cfRule>
    <cfRule type="cellIs" dxfId="419" priority="5267" operator="between">
      <formula>"ITAÚ FILIAL"</formula>
      <formula>"ITAÚ FILIAL"</formula>
    </cfRule>
    <cfRule type="cellIs" dxfId="418" priority="5266" operator="between">
      <formula>"ITAÚ FILIAL"</formula>
      <formula>"ITAÚ FILIAL"</formula>
    </cfRule>
    <cfRule type="cellIs" dxfId="417" priority="5265" operator="between">
      <formula>"DAYCOVAL"</formula>
      <formula>"DAYCOVAL"</formula>
    </cfRule>
    <cfRule type="cellIs" dxfId="416" priority="5264" operator="between">
      <formula>"SAFRA"</formula>
      <formula>"SAFRA"</formula>
    </cfRule>
    <cfRule type="cellIs" dxfId="415" priority="5263" operator="between">
      <formula>"SAFRA"</formula>
      <formula>"SAFRA"</formula>
    </cfRule>
    <cfRule type="cellIs" dxfId="414" priority="5262" operator="equal">
      <formula>"ITAÚ"</formula>
    </cfRule>
    <cfRule type="cellIs" dxfId="413" priority="5261" operator="equal">
      <formula>"ITAÚ"</formula>
    </cfRule>
    <cfRule type="cellIs" dxfId="412" priority="5260" operator="between">
      <formula>"ITAÚ MATRIZ"</formula>
      <formula>"ITAÚ MATRIZ"</formula>
    </cfRule>
    <cfRule type="cellIs" dxfId="411" priority="5259" operator="between">
      <formula>"ITAÚ FILIAL"</formula>
      <formula>"ITAÚ FILIAL"</formula>
    </cfRule>
    <cfRule type="cellIs" dxfId="410" priority="5258" operator="between">
      <formula>"ITAÚ FILIAL"</formula>
      <formula>"ITAÚ FILIAL"</formula>
    </cfRule>
    <cfRule type="cellIs" dxfId="409" priority="5257" operator="between">
      <formula>"DAYCOVAL"</formula>
      <formula>"DAYCOVAL"</formula>
    </cfRule>
    <cfRule type="cellIs" dxfId="408" priority="5256" operator="between">
      <formula>"SAFRA"</formula>
      <formula>"SAFRA"</formula>
    </cfRule>
    <cfRule type="cellIs" dxfId="407" priority="5255" operator="between">
      <formula>"SAFRA"</formula>
      <formula>"SAFRA"</formula>
    </cfRule>
    <cfRule type="cellIs" dxfId="406" priority="5254" operator="equal">
      <formula>"ITAÚ MATRIZ"</formula>
    </cfRule>
    <cfRule type="cellIs" dxfId="405" priority="5253" operator="equal">
      <formula>"ITAÚ"</formula>
    </cfRule>
    <cfRule type="cellIs" dxfId="404" priority="5252" operator="equal">
      <formula>"ITAÚ"</formula>
    </cfRule>
    <cfRule type="cellIs" dxfId="403" priority="5251" operator="between">
      <formula>"ITAÚ MATRIZ"</formula>
      <formula>"ITAÚ MATRIZ"</formula>
    </cfRule>
    <cfRule type="cellIs" dxfId="402" priority="5250" operator="between">
      <formula>"ITAÚ FILIAL"</formula>
      <formula>"ITAÚ FILIAL"</formula>
    </cfRule>
    <cfRule type="cellIs" dxfId="401" priority="5249" operator="between">
      <formula>"ITAÚ FILIAL"</formula>
      <formula>"ITAÚ FILIAL"</formula>
    </cfRule>
    <cfRule type="cellIs" dxfId="400" priority="5248" operator="between">
      <formula>"DAYCOVAL"</formula>
      <formula>"DAYCOVAL"</formula>
    </cfRule>
    <cfRule type="cellIs" dxfId="399" priority="5247" operator="between">
      <formula>"SAFRA"</formula>
      <formula>"SAFRA"</formula>
    </cfRule>
    <cfRule type="cellIs" dxfId="398" priority="5246" operator="between">
      <formula>"SAFRA"</formula>
      <formula>"SAFRA"</formula>
    </cfRule>
    <cfRule type="cellIs" dxfId="397" priority="5245" operator="equal">
      <formula>"ITAÚ MATRIZ"</formula>
    </cfRule>
    <cfRule type="cellIs" dxfId="396" priority="5244" operator="equal">
      <formula>"ITAÚ"</formula>
    </cfRule>
    <cfRule type="cellIs" dxfId="395" priority="5243" operator="equal">
      <formula>"ITAÚ"</formula>
    </cfRule>
    <cfRule type="cellIs" dxfId="394" priority="5286" operator="equal">
      <formula>"ITAÚ"</formula>
    </cfRule>
    <cfRule type="cellIs" dxfId="393" priority="5242" operator="between">
      <formula>"ITAÚ MATRIZ"</formula>
      <formula>"ITAÚ MATRIZ"</formula>
    </cfRule>
    <cfRule type="cellIs" dxfId="392" priority="5241" operator="between">
      <formula>"ITAÚ FILIAL"</formula>
      <formula>"ITAÚ FILIAL"</formula>
    </cfRule>
    <cfRule type="cellIs" dxfId="391" priority="5240" operator="between">
      <formula>"ITAÚ FILIAL"</formula>
      <formula>"ITAÚ FILIAL"</formula>
    </cfRule>
    <cfRule type="cellIs" dxfId="390" priority="5239" operator="between">
      <formula>"DAYCOVAL"</formula>
      <formula>"DAYCOVAL"</formula>
    </cfRule>
    <cfRule type="cellIs" dxfId="389" priority="5238" operator="between">
      <formula>"SAFRA"</formula>
      <formula>"SAFRA"</formula>
    </cfRule>
    <cfRule type="cellIs" dxfId="388" priority="5237" operator="between">
      <formula>"SAFRA"</formula>
      <formula>"SAFRA"</formula>
    </cfRule>
    <cfRule type="cellIs" dxfId="387" priority="5236" operator="equal">
      <formula>"ITAÚ MATRIZ"</formula>
    </cfRule>
    <cfRule type="cellIs" dxfId="386" priority="5235" operator="equal">
      <formula>"ITAÚ"</formula>
    </cfRule>
    <cfRule type="cellIs" dxfId="385" priority="5234" operator="equal">
      <formula>"ITAÚ"</formula>
    </cfRule>
    <cfRule type="cellIs" dxfId="384" priority="5233" operator="between">
      <formula>"ITAÚ MATRIZ"</formula>
      <formula>"ITAÚ MATRIZ"</formula>
    </cfRule>
    <cfRule type="cellIs" dxfId="383" priority="5232" operator="between">
      <formula>"ITAÚ FILIAL"</formula>
      <formula>"ITAÚ FILIAL"</formula>
    </cfRule>
    <cfRule type="cellIs" dxfId="382" priority="5231" operator="between">
      <formula>"ITAÚ FILIAL"</formula>
      <formula>"ITAÚ FILIAL"</formula>
    </cfRule>
    <cfRule type="cellIs" dxfId="381" priority="5230" operator="between">
      <formula>"DAYCOVAL"</formula>
      <formula>"DAYCOVAL"</formula>
    </cfRule>
    <cfRule type="cellIs" dxfId="380" priority="5229" operator="between">
      <formula>"SAFRA"</formula>
      <formula>"SAFRA"</formula>
    </cfRule>
    <cfRule type="cellIs" dxfId="379" priority="5228" operator="between">
      <formula>"SAFRA"</formula>
      <formula>"SAFRA"</formula>
    </cfRule>
    <cfRule type="cellIs" dxfId="378" priority="5227" operator="equal">
      <formula>"ITAÚ MATRIZ"</formula>
    </cfRule>
    <cfRule type="cellIs" dxfId="377" priority="5226" operator="equal">
      <formula>"ITAÚ"</formula>
    </cfRule>
    <cfRule type="cellIs" dxfId="376" priority="5225" operator="equal">
      <formula>"ITAÚ"</formula>
    </cfRule>
    <cfRule type="cellIs" dxfId="375" priority="5224" operator="between">
      <formula>"ITAÚ MATRIZ"</formula>
      <formula>"ITAÚ MATRIZ"</formula>
    </cfRule>
    <cfRule type="cellIs" dxfId="374" priority="5223" operator="between">
      <formula>"ITAÚ FILIAL"</formula>
      <formula>"ITAÚ FILIAL"</formula>
    </cfRule>
    <cfRule type="cellIs" dxfId="373" priority="5222" operator="between">
      <formula>"ITAÚ FILIAL"</formula>
      <formula>"ITAÚ FILIAL"</formula>
    </cfRule>
    <cfRule type="cellIs" dxfId="372" priority="5221" operator="between">
      <formula>"DAYCOVAL"</formula>
      <formula>"DAYCOVAL"</formula>
    </cfRule>
    <cfRule type="cellIs" dxfId="371" priority="5220" operator="between">
      <formula>"SAFRA"</formula>
      <formula>"SAFRA"</formula>
    </cfRule>
    <cfRule type="cellIs" dxfId="370" priority="5219" operator="between">
      <formula>"SAFRA"</formula>
      <formula>"SAFRA"</formula>
    </cfRule>
    <cfRule type="cellIs" dxfId="369" priority="5285" operator="between">
      <formula>"ITAÚ FILIAL"</formula>
      <formula>"ITAÚ FILIAL"</formula>
    </cfRule>
    <cfRule type="cellIs" dxfId="368" priority="5218" operator="equal">
      <formula>"ITAÚ MATRIZ"</formula>
    </cfRule>
    <cfRule type="cellIs" dxfId="367" priority="5284" operator="between">
      <formula>"ITAÚ FILIAL"</formula>
      <formula>"ITAÚ FILIAL"</formula>
    </cfRule>
    <cfRule type="cellIs" dxfId="366" priority="5217" operator="equal">
      <formula>"ITAÚ"</formula>
    </cfRule>
    <cfRule type="cellIs" dxfId="365" priority="5216" operator="between">
      <formula>"ITAÚ MATRIZ"</formula>
      <formula>"ITAÚ MATRIZ"</formula>
    </cfRule>
    <cfRule type="cellIs" dxfId="364" priority="5215" operator="equal">
      <formula>"ITAÚ MATRIZ"</formula>
    </cfRule>
    <cfRule type="cellIs" dxfId="363" priority="5214" operator="equal">
      <formula>"ITAÚ"</formula>
    </cfRule>
    <cfRule type="cellIs" dxfId="362" priority="5213" operator="between">
      <formula>"ITAÚ FILIAL"</formula>
      <formula>"ITAÚ FILIAL"</formula>
    </cfRule>
    <cfRule type="cellIs" dxfId="361" priority="5212" operator="between">
      <formula>"ITAÚ FILIAL"</formula>
      <formula>"ITAÚ FILIAL"</formula>
    </cfRule>
    <cfRule type="cellIs" dxfId="360" priority="5211" operator="between">
      <formula>"DAYCOVAL"</formula>
      <formula>"DAYCOVAL"</formula>
    </cfRule>
    <cfRule type="cellIs" dxfId="359" priority="5210" operator="between">
      <formula>"SAFRA"</formula>
      <formula>"SAFRA"</formula>
    </cfRule>
    <cfRule type="cellIs" dxfId="358" priority="5209" operator="between">
      <formula>"SAFRA"</formula>
      <formula>"SAFRA"</formula>
    </cfRule>
    <cfRule type="cellIs" dxfId="357" priority="5208" operator="equal">
      <formula>"ITAÚ"</formula>
    </cfRule>
    <cfRule type="cellIs" dxfId="356" priority="5207" operator="equal">
      <formula>"ITAÚ"</formula>
    </cfRule>
    <cfRule type="cellIs" dxfId="355" priority="5206" operator="between">
      <formula>"ITAÚ MATRIZ"</formula>
      <formula>"ITAÚ MATRIZ"</formula>
    </cfRule>
    <cfRule type="cellIs" dxfId="354" priority="5205" operator="between">
      <formula>"ITAÚ FILIAL"</formula>
      <formula>"ITAÚ FILIAL"</formula>
    </cfRule>
    <cfRule type="cellIs" dxfId="353" priority="5204" operator="between">
      <formula>"ITAÚ FILIAL"</formula>
      <formula>"ITAÚ FILIAL"</formula>
    </cfRule>
    <cfRule type="cellIs" dxfId="352" priority="5203" operator="between">
      <formula>"DAYCOVAL"</formula>
      <formula>"DAYCOVAL"</formula>
    </cfRule>
    <cfRule type="cellIs" dxfId="351" priority="5202" operator="between">
      <formula>"SAFRA"</formula>
      <formula>"SAFRA"</formula>
    </cfRule>
    <cfRule type="cellIs" dxfId="350" priority="5201" operator="between">
      <formula>"SAFRA"</formula>
      <formula>"SAFRA"</formula>
    </cfRule>
    <cfRule type="cellIs" dxfId="349" priority="5200" operator="equal">
      <formula>"ITAÚ MATRIZ"</formula>
    </cfRule>
    <cfRule type="cellIs" dxfId="348" priority="5304" operator="between">
      <formula>"ITAÚ MATRIZ"</formula>
      <formula>"ITAÚ MATRIZ"</formula>
    </cfRule>
    <cfRule type="cellIs" dxfId="347" priority="5303" operator="between">
      <formula>"ITAÚ FILIAL"</formula>
      <formula>"ITAÚ FILIAL"</formula>
    </cfRule>
    <cfRule type="cellIs" dxfId="346" priority="5302" operator="between">
      <formula>"ITAÚ FILIAL"</formula>
      <formula>"ITAÚ FILIAL"</formula>
    </cfRule>
    <cfRule type="cellIs" dxfId="345" priority="5297" operator="equal">
      <formula>"ITAÚ"</formula>
    </cfRule>
    <cfRule type="cellIs" dxfId="344" priority="5295" operator="between">
      <formula>"ITAÚ MATRIZ"</formula>
      <formula>"ITAÚ MATRIZ"</formula>
    </cfRule>
    <cfRule type="cellIs" dxfId="343" priority="5294" operator="between">
      <formula>"ITAÚ FILIAL"</formula>
      <formula>"ITAÚ FILIAL"</formula>
    </cfRule>
    <cfRule type="cellIs" dxfId="342" priority="5293" operator="between">
      <formula>"ITAÚ FILIAL"</formula>
      <formula>"ITAÚ FILIAL"</formula>
    </cfRule>
    <cfRule type="cellIs" dxfId="341" priority="5292" operator="between">
      <formula>"DAYCOVAL"</formula>
      <formula>"DAYCOVAL"</formula>
    </cfRule>
    <cfRule type="cellIs" dxfId="340" priority="5291" operator="between">
      <formula>"SAFRA"</formula>
      <formula>"SAFRA"</formula>
    </cfRule>
    <cfRule type="cellIs" dxfId="339" priority="5280" operator="equal">
      <formula>"ITAÚ"</formula>
    </cfRule>
    <cfRule type="cellIs" dxfId="338" priority="5283" operator="between">
      <formula>"DAYCOVAL"</formula>
      <formula>"DAYCOVAL"</formula>
    </cfRule>
    <cfRule type="cellIs" dxfId="337" priority="5281" operator="between">
      <formula>"SAFRA"</formula>
      <formula>"SAFRA"</formula>
    </cfRule>
    <cfRule type="cellIs" dxfId="336" priority="5290" operator="between">
      <formula>"SAFRA"</formula>
      <formula>"SAFRA"</formula>
    </cfRule>
    <cfRule type="cellIs" dxfId="335" priority="5289" operator="equal">
      <formula>"ITAÚ MATRIZ"</formula>
    </cfRule>
    <cfRule type="cellIs" dxfId="334" priority="5287" operator="equal">
      <formula>"ITAÚ MATRIZ"</formula>
    </cfRule>
  </conditionalFormatting>
  <conditionalFormatting sqref="I476">
    <cfRule type="cellIs" dxfId="333" priority="116" operator="between">
      <formula>"ITAÚ MATRIZ"</formula>
      <formula>"ITAÚ MATRIZ"</formula>
    </cfRule>
    <cfRule type="cellIs" dxfId="332" priority="46" operator="equal">
      <formula>"ITAÚ"</formula>
    </cfRule>
    <cfRule type="cellIs" dxfId="331" priority="112" operator="between">
      <formula>"SAFRA"</formula>
      <formula>"SAFRA"</formula>
    </cfRule>
    <cfRule type="cellIs" dxfId="330" priority="113" operator="between">
      <formula>"DAYCOVAL"</formula>
      <formula>"DAYCOVAL"</formula>
    </cfRule>
    <cfRule type="cellIs" dxfId="329" priority="114" operator="between">
      <formula>"ITAÚ FILIAL"</formula>
      <formula>"ITAÚ FILIAL"</formula>
    </cfRule>
    <cfRule type="cellIs" dxfId="328" priority="115" operator="between">
      <formula>"ITAÚ FILIAL"</formula>
      <formula>"ITAÚ FILIAL"</formula>
    </cfRule>
    <cfRule type="cellIs" dxfId="327" priority="50" operator="between">
      <formula>"SAFRA"</formula>
      <formula>"SAFRA"</formula>
    </cfRule>
    <cfRule type="cellIs" dxfId="326" priority="117" operator="equal">
      <formula>"ITAÚ"</formula>
    </cfRule>
    <cfRule type="cellIs" dxfId="325" priority="118" operator="equal">
      <formula>"ITAÚ"</formula>
    </cfRule>
    <cfRule type="cellIs" dxfId="324" priority="110" operator="equal">
      <formula>"ITAÚ MATRIZ"</formula>
    </cfRule>
    <cfRule type="cellIs" dxfId="323" priority="109" operator="equal">
      <formula>"ITAÚ"</formula>
    </cfRule>
    <cfRule type="cellIs" dxfId="322" priority="107" operator="between">
      <formula>"ITAÚ MATRIZ"</formula>
      <formula>"ITAÚ MATRIZ"</formula>
    </cfRule>
    <cfRule type="cellIs" dxfId="321" priority="106" operator="between">
      <formula>"ITAÚ FILIAL"</formula>
      <formula>"ITAÚ FILIAL"</formula>
    </cfRule>
    <cfRule type="cellIs" dxfId="320" priority="102" operator="between">
      <formula>"SAFRA"</formula>
      <formula>"SAFRA"</formula>
    </cfRule>
    <cfRule type="cellIs" dxfId="319" priority="101" operator="equal">
      <formula>"ITAÚ MATRIZ"</formula>
    </cfRule>
    <cfRule type="cellIs" dxfId="318" priority="100" operator="between">
      <formula>"ITAÚ MATRIZ"</formula>
      <formula>"ITAÚ MATRIZ"</formula>
    </cfRule>
    <cfRule type="cellIs" dxfId="317" priority="99" operator="equal">
      <formula>"ITAÚ MATRIZ"</formula>
    </cfRule>
    <cfRule type="cellIs" dxfId="316" priority="98" operator="equal">
      <formula>"ITAÚ"</formula>
    </cfRule>
    <cfRule type="cellIs" dxfId="315" priority="97" operator="between">
      <formula>"ITAÚ FILIAL"</formula>
      <formula>"ITAÚ FILIAL"</formula>
    </cfRule>
    <cfRule type="cellIs" dxfId="314" priority="96" operator="between">
      <formula>"ITAÚ FILIAL"</formula>
      <formula>"ITAÚ FILIAL"</formula>
    </cfRule>
    <cfRule type="cellIs" dxfId="313" priority="95" operator="between">
      <formula>"DAYCOVAL"</formula>
      <formula>"DAYCOVAL"</formula>
    </cfRule>
    <cfRule type="cellIs" dxfId="312" priority="94" operator="between">
      <formula>"SAFRA"</formula>
      <formula>"SAFRA"</formula>
    </cfRule>
    <cfRule type="cellIs" dxfId="311" priority="104" operator="between">
      <formula>"DAYCOVAL"</formula>
      <formula>"DAYCOVAL"</formula>
    </cfRule>
    <cfRule type="cellIs" dxfId="310" priority="105" operator="between">
      <formula>"ITAÚ FILIAL"</formula>
      <formula>"ITAÚ FILIAL"</formula>
    </cfRule>
    <cfRule type="cellIs" dxfId="309" priority="103" operator="between">
      <formula>"SAFRA"</formula>
      <formula>"SAFRA"</formula>
    </cfRule>
    <cfRule type="cellIs" dxfId="308" priority="49" operator="between">
      <formula>"SAFRA"</formula>
      <formula>"SAFRA"</formula>
    </cfRule>
    <cfRule type="cellIs" dxfId="307" priority="48" operator="equal">
      <formula>"ITAÚ MATRIZ"</formula>
    </cfRule>
    <cfRule type="cellIs" dxfId="306" priority="47" operator="equal">
      <formula>"ITAÚ"</formula>
    </cfRule>
    <cfRule type="cellIs" dxfId="305" priority="12" operator="equal">
      <formula>"ITAÚ MATRIZ"</formula>
    </cfRule>
    <cfRule type="cellIs" dxfId="304" priority="93" operator="between">
      <formula>"SAFRA"</formula>
      <formula>"SAFRA"</formula>
    </cfRule>
    <cfRule type="cellIs" dxfId="303" priority="92" operator="equal">
      <formula>"ITAÚ"</formula>
    </cfRule>
    <cfRule type="cellIs" dxfId="302" priority="91" operator="equal">
      <formula>"ITAÚ"</formula>
    </cfRule>
    <cfRule type="cellIs" dxfId="301" priority="90" operator="between">
      <formula>"ITAÚ MATRIZ"</formula>
      <formula>"ITAÚ MATRIZ"</formula>
    </cfRule>
    <cfRule type="cellIs" dxfId="300" priority="89" operator="between">
      <formula>"ITAÚ FILIAL"</formula>
      <formula>"ITAÚ FILIAL"</formula>
    </cfRule>
    <cfRule type="cellIs" dxfId="299" priority="88" operator="between">
      <formula>"ITAÚ FILIAL"</formula>
      <formula>"ITAÚ FILIAL"</formula>
    </cfRule>
    <cfRule type="cellIs" dxfId="298" priority="87" operator="between">
      <formula>"DAYCOVAL"</formula>
      <formula>"DAYCOVAL"</formula>
    </cfRule>
    <cfRule type="cellIs" dxfId="297" priority="86" operator="between">
      <formula>"SAFRA"</formula>
      <formula>"SAFRA"</formula>
    </cfRule>
    <cfRule type="cellIs" dxfId="296" priority="85" operator="between">
      <formula>"SAFRA"</formula>
      <formula>"SAFRA"</formula>
    </cfRule>
    <cfRule type="cellIs" dxfId="295" priority="84" operator="equal">
      <formula>"ITAÚ MATRIZ"</formula>
    </cfRule>
    <cfRule type="cellIs" dxfId="294" priority="83" operator="equal">
      <formula>"ITAÚ"</formula>
    </cfRule>
    <cfRule type="cellIs" dxfId="293" priority="82" operator="between">
      <formula>"ITAÚ MATRIZ"</formula>
      <formula>"ITAÚ MATRIZ"</formula>
    </cfRule>
    <cfRule type="cellIs" dxfId="292" priority="81" operator="equal">
      <formula>"ITAÚ MATRIZ"</formula>
    </cfRule>
    <cfRule type="cellIs" dxfId="291" priority="80" operator="equal">
      <formula>"ITAÚ"</formula>
    </cfRule>
    <cfRule type="cellIs" dxfId="290" priority="79" operator="between">
      <formula>"ITAÚ FILIAL"</formula>
      <formula>"ITAÚ FILIAL"</formula>
    </cfRule>
    <cfRule type="cellIs" dxfId="289" priority="78" operator="between">
      <formula>"ITAÚ FILIAL"</formula>
      <formula>"ITAÚ FILIAL"</formula>
    </cfRule>
    <cfRule type="cellIs" dxfId="288" priority="77" operator="between">
      <formula>"DAYCOVAL"</formula>
      <formula>"DAYCOVAL"</formula>
    </cfRule>
    <cfRule type="cellIs" dxfId="287" priority="76" operator="between">
      <formula>"SAFRA"</formula>
      <formula>"SAFRA"</formula>
    </cfRule>
    <cfRule type="cellIs" dxfId="286" priority="75" operator="between">
      <formula>"SAFRA"</formula>
      <formula>"SAFRA"</formula>
    </cfRule>
    <cfRule type="cellIs" dxfId="285" priority="74" operator="equal">
      <formula>"ITAÚ"</formula>
    </cfRule>
    <cfRule type="cellIs" dxfId="284" priority="73" operator="equal">
      <formula>"ITAÚ"</formula>
    </cfRule>
    <cfRule type="cellIs" dxfId="283" priority="72" operator="between">
      <formula>"ITAÚ MATRIZ"</formula>
      <formula>"ITAÚ MATRIZ"</formula>
    </cfRule>
    <cfRule type="cellIs" dxfId="282" priority="71" operator="between">
      <formula>"ITAÚ FILIAL"</formula>
      <formula>"ITAÚ FILIAL"</formula>
    </cfRule>
    <cfRule type="cellIs" dxfId="281" priority="70" operator="between">
      <formula>"ITAÚ FILIAL"</formula>
      <formula>"ITAÚ FILIAL"</formula>
    </cfRule>
    <cfRule type="cellIs" dxfId="280" priority="69" operator="between">
      <formula>"DAYCOVAL"</formula>
      <formula>"DAYCOVAL"</formula>
    </cfRule>
    <cfRule type="cellIs" dxfId="279" priority="68" operator="between">
      <formula>"SAFRA"</formula>
      <formula>"SAFRA"</formula>
    </cfRule>
    <cfRule type="cellIs" dxfId="278" priority="67" operator="between">
      <formula>"SAFRA"</formula>
      <formula>"SAFRA"</formula>
    </cfRule>
    <cfRule type="cellIs" dxfId="277" priority="66" operator="equal">
      <formula>"ITAÚ MATRIZ"</formula>
    </cfRule>
    <cfRule type="cellIs" dxfId="276" priority="65" operator="equal">
      <formula>"ITAÚ"</formula>
    </cfRule>
    <cfRule type="cellIs" dxfId="275" priority="64" operator="equal">
      <formula>"ITAÚ"</formula>
    </cfRule>
    <cfRule type="cellIs" dxfId="274" priority="63" operator="between">
      <formula>"ITAÚ MATRIZ"</formula>
      <formula>"ITAÚ MATRIZ"</formula>
    </cfRule>
    <cfRule type="cellIs" dxfId="273" priority="62" operator="between">
      <formula>"ITAÚ FILIAL"</formula>
      <formula>"ITAÚ FILIAL"</formula>
    </cfRule>
    <cfRule type="cellIs" dxfId="272" priority="61" operator="between">
      <formula>"ITAÚ FILIAL"</formula>
      <formula>"ITAÚ FILIAL"</formula>
    </cfRule>
    <cfRule type="cellIs" dxfId="271" priority="60" operator="between">
      <formula>"DAYCOVAL"</formula>
      <formula>"DAYCOVAL"</formula>
    </cfRule>
    <cfRule type="cellIs" dxfId="270" priority="59" operator="between">
      <formula>"SAFRA"</formula>
      <formula>"SAFRA"</formula>
    </cfRule>
    <cfRule type="cellIs" dxfId="269" priority="58" operator="between">
      <formula>"SAFRA"</formula>
      <formula>"SAFRA"</formula>
    </cfRule>
    <cfRule type="cellIs" dxfId="268" priority="57" operator="equal">
      <formula>"ITAÚ MATRIZ"</formula>
    </cfRule>
    <cfRule type="cellIs" dxfId="267" priority="56" operator="equal">
      <formula>"ITAÚ"</formula>
    </cfRule>
    <cfRule type="cellIs" dxfId="266" priority="55" operator="equal">
      <formula>"ITAÚ"</formula>
    </cfRule>
    <cfRule type="cellIs" dxfId="265" priority="54" operator="between">
      <formula>"ITAÚ MATRIZ"</formula>
      <formula>"ITAÚ MATRIZ"</formula>
    </cfRule>
    <cfRule type="cellIs" dxfId="264" priority="53" operator="between">
      <formula>"ITAÚ FILIAL"</formula>
      <formula>"ITAÚ FILIAL"</formula>
    </cfRule>
    <cfRule type="cellIs" dxfId="263" priority="52" operator="between">
      <formula>"ITAÚ FILIAL"</formula>
      <formula>"ITAÚ FILIAL"</formula>
    </cfRule>
    <cfRule type="cellIs" dxfId="262" priority="51" operator="between">
      <formula>"DAYCOVAL"</formula>
      <formula>"DAYCOVAL"</formula>
    </cfRule>
    <cfRule type="cellIs" dxfId="261" priority="13" operator="between">
      <formula>"SAFRA"</formula>
      <formula>"SAFRA"</formula>
    </cfRule>
    <cfRule type="cellIs" dxfId="260" priority="14" operator="between">
      <formula>"SAFRA"</formula>
      <formula>"SAFRA"</formula>
    </cfRule>
    <cfRule type="cellIs" dxfId="259" priority="15" operator="between">
      <formula>"DAYCOVAL"</formula>
      <formula>"DAYCOVAL"</formula>
    </cfRule>
    <cfRule type="cellIs" dxfId="258" priority="16" operator="between">
      <formula>"ITAÚ FILIAL"</formula>
      <formula>"ITAÚ FILIAL"</formula>
    </cfRule>
    <cfRule type="cellIs" dxfId="257" priority="17" operator="between">
      <formula>"ITAÚ FILIAL"</formula>
      <formula>"ITAÚ FILIAL"</formula>
    </cfRule>
    <cfRule type="cellIs" dxfId="256" priority="18" operator="between">
      <formula>"ITAÚ MATRIZ"</formula>
      <formula>"ITAÚ MATRIZ"</formula>
    </cfRule>
    <cfRule type="cellIs" dxfId="255" priority="19" operator="equal">
      <formula>"ITAÚ"</formula>
    </cfRule>
    <cfRule type="cellIs" dxfId="254" priority="20" operator="equal">
      <formula>"ITAÚ"</formula>
    </cfRule>
    <cfRule type="cellIs" dxfId="253" priority="21" operator="between">
      <formula>"SAFRA"</formula>
      <formula>"SAFRA"</formula>
    </cfRule>
    <cfRule type="cellIs" dxfId="252" priority="22" operator="between">
      <formula>"SAFRA"</formula>
      <formula>"SAFRA"</formula>
    </cfRule>
    <cfRule type="cellIs" dxfId="251" priority="23" operator="between">
      <formula>"DAYCOVAL"</formula>
      <formula>"DAYCOVAL"</formula>
    </cfRule>
    <cfRule type="cellIs" dxfId="250" priority="24" operator="between">
      <formula>"ITAÚ FILIAL"</formula>
      <formula>"ITAÚ FILIAL"</formula>
    </cfRule>
    <cfRule type="cellIs" dxfId="249" priority="25" operator="between">
      <formula>"ITAÚ FILIAL"</formula>
      <formula>"ITAÚ FILIAL"</formula>
    </cfRule>
    <cfRule type="cellIs" dxfId="248" priority="26" operator="equal">
      <formula>"ITAÚ"</formula>
    </cfRule>
    <cfRule type="cellIs" dxfId="247" priority="27" operator="equal">
      <formula>"ITAÚ MATRIZ"</formula>
    </cfRule>
    <cfRule type="cellIs" dxfId="246" priority="28" operator="between">
      <formula>"ITAÚ MATRIZ"</formula>
      <formula>"ITAÚ MATRIZ"</formula>
    </cfRule>
    <cfRule type="cellIs" dxfId="245" priority="29" operator="equal">
      <formula>"ITAÚ"</formula>
    </cfRule>
    <cfRule type="cellIs" dxfId="244" priority="30" operator="equal">
      <formula>"ITAÚ MATRIZ"</formula>
    </cfRule>
    <cfRule type="cellIs" dxfId="243" priority="31" operator="between">
      <formula>"SAFRA"</formula>
      <formula>"SAFRA"</formula>
    </cfRule>
    <cfRule type="cellIs" dxfId="242" priority="32" operator="between">
      <formula>"SAFRA"</formula>
      <formula>"SAFRA"</formula>
    </cfRule>
    <cfRule type="cellIs" dxfId="241" priority="33" operator="between">
      <formula>"DAYCOVAL"</formula>
      <formula>"DAYCOVAL"</formula>
    </cfRule>
    <cfRule type="cellIs" dxfId="240" priority="34" operator="between">
      <formula>"ITAÚ FILIAL"</formula>
      <formula>"ITAÚ FILIAL"</formula>
    </cfRule>
    <cfRule type="cellIs" dxfId="239" priority="35" operator="between">
      <formula>"ITAÚ FILIAL"</formula>
      <formula>"ITAÚ FILIAL"</formula>
    </cfRule>
    <cfRule type="cellIs" dxfId="238" priority="36" operator="between">
      <formula>"ITAÚ MATRIZ"</formula>
      <formula>"ITAÚ MATRIZ"</formula>
    </cfRule>
    <cfRule type="cellIs" dxfId="237" priority="37" operator="equal">
      <formula>"ITAÚ"</formula>
    </cfRule>
    <cfRule type="cellIs" dxfId="236" priority="38" operator="equal">
      <formula>"ITAÚ"</formula>
    </cfRule>
    <cfRule type="cellIs" dxfId="235" priority="39" operator="equal">
      <formula>"ITAÚ MATRIZ"</formula>
    </cfRule>
    <cfRule type="cellIs" dxfId="234" priority="40" operator="between">
      <formula>"SAFRA"</formula>
      <formula>"SAFRA"</formula>
    </cfRule>
    <cfRule type="cellIs" dxfId="233" priority="41" operator="between">
      <formula>"SAFRA"</formula>
      <formula>"SAFRA"</formula>
    </cfRule>
    <cfRule type="cellIs" dxfId="232" priority="42" operator="between">
      <formula>"DAYCOVAL"</formula>
      <formula>"DAYCOVAL"</formula>
    </cfRule>
    <cfRule type="cellIs" dxfId="231" priority="43" operator="between">
      <formula>"ITAÚ FILIAL"</formula>
      <formula>"ITAÚ FILIAL"</formula>
    </cfRule>
    <cfRule type="cellIs" dxfId="230" priority="44" operator="between">
      <formula>"ITAÚ FILIAL"</formula>
      <formula>"ITAÚ FILIAL"</formula>
    </cfRule>
    <cfRule type="cellIs" dxfId="229" priority="45" operator="between">
      <formula>"ITAÚ MATRIZ"</formula>
      <formula>"ITAÚ MATRIZ"</formula>
    </cfRule>
    <cfRule type="cellIs" dxfId="228" priority="111" operator="between">
      <formula>"SAFRA"</formula>
      <formula>"SAFRA"</formula>
    </cfRule>
  </conditionalFormatting>
  <conditionalFormatting sqref="I477:I484">
    <cfRule type="cellIs" dxfId="227" priority="240" operator="equal">
      <formula>"ITAÚ"</formula>
    </cfRule>
    <cfRule type="cellIs" dxfId="226" priority="239" operator="equal">
      <formula>"ITAÚ"</formula>
    </cfRule>
    <cfRule type="cellIs" dxfId="225" priority="235" operator="between">
      <formula>"DAYCOVAL"</formula>
      <formula>"DAYCOVAL"</formula>
    </cfRule>
    <cfRule type="cellIs" dxfId="224" priority="234" operator="between">
      <formula>"SAFRA"</formula>
      <formula>"SAFRA"</formula>
    </cfRule>
    <cfRule type="cellIs" dxfId="223" priority="233" operator="between">
      <formula>"SAFRA"</formula>
      <formula>"SAFRA"</formula>
    </cfRule>
    <cfRule type="cellIs" dxfId="222" priority="232" operator="equal">
      <formula>"ITAÚ MATRIZ"</formula>
    </cfRule>
  </conditionalFormatting>
  <conditionalFormatting sqref="I484">
    <cfRule type="cellIs" dxfId="221" priority="158" operator="between">
      <formula>"ITAÚ MATRIZ"</formula>
      <formula>"ITAÚ MATRIZ"</formula>
    </cfRule>
    <cfRule type="cellIs" dxfId="220" priority="221" operator="equal">
      <formula>"ITAÚ MATRIZ"</formula>
    </cfRule>
    <cfRule type="cellIs" dxfId="219" priority="159" operator="equal">
      <formula>"ITAÚ"</formula>
    </cfRule>
    <cfRule type="cellIs" dxfId="218" priority="229" operator="between">
      <formula>"ITAÚ MATRIZ"</formula>
      <formula>"ITAÚ MATRIZ"</formula>
    </cfRule>
    <cfRule type="cellIs" dxfId="217" priority="134" operator="equal">
      <formula>"ITAÚ MATRIZ"</formula>
    </cfRule>
    <cfRule type="cellIs" dxfId="216" priority="135" operator="between">
      <formula>"SAFRA"</formula>
      <formula>"SAFRA"</formula>
    </cfRule>
    <cfRule type="cellIs" dxfId="215" priority="136" operator="between">
      <formula>"SAFRA"</formula>
      <formula>"SAFRA"</formula>
    </cfRule>
    <cfRule type="cellIs" dxfId="214" priority="137" operator="between">
      <formula>"DAYCOVAL"</formula>
      <formula>"DAYCOVAL"</formula>
    </cfRule>
    <cfRule type="cellIs" dxfId="213" priority="138" operator="between">
      <formula>"ITAÚ FILIAL"</formula>
      <formula>"ITAÚ FILIAL"</formula>
    </cfRule>
    <cfRule type="cellIs" dxfId="212" priority="139" operator="between">
      <formula>"ITAÚ FILIAL"</formula>
      <formula>"ITAÚ FILIAL"</formula>
    </cfRule>
    <cfRule type="cellIs" dxfId="211" priority="140" operator="between">
      <formula>"ITAÚ MATRIZ"</formula>
      <formula>"ITAÚ MATRIZ"</formula>
    </cfRule>
    <cfRule type="cellIs" dxfId="210" priority="141" operator="equal">
      <formula>"ITAÚ"</formula>
    </cfRule>
    <cfRule type="cellIs" dxfId="209" priority="142" operator="equal">
      <formula>"ITAÚ"</formula>
    </cfRule>
    <cfRule type="cellIs" dxfId="208" priority="143" operator="between">
      <formula>"SAFRA"</formula>
      <formula>"SAFRA"</formula>
    </cfRule>
    <cfRule type="cellIs" dxfId="207" priority="144" operator="between">
      <formula>"SAFRA"</formula>
      <formula>"SAFRA"</formula>
    </cfRule>
    <cfRule type="cellIs" dxfId="206" priority="145" operator="between">
      <formula>"DAYCOVAL"</formula>
      <formula>"DAYCOVAL"</formula>
    </cfRule>
    <cfRule type="cellIs" dxfId="205" priority="146" operator="between">
      <formula>"ITAÚ FILIAL"</formula>
      <formula>"ITAÚ FILIAL"</formula>
    </cfRule>
    <cfRule type="cellIs" dxfId="204" priority="147" operator="between">
      <formula>"ITAÚ FILIAL"</formula>
      <formula>"ITAÚ FILIAL"</formula>
    </cfRule>
    <cfRule type="cellIs" dxfId="203" priority="148" operator="equal">
      <formula>"ITAÚ"</formula>
    </cfRule>
    <cfRule type="cellIs" dxfId="202" priority="149" operator="equal">
      <formula>"ITAÚ MATRIZ"</formula>
    </cfRule>
    <cfRule type="cellIs" dxfId="201" priority="227" operator="between">
      <formula>"ITAÚ FILIAL"</formula>
      <formula>"ITAÚ FILIAL"</formula>
    </cfRule>
    <cfRule type="cellIs" dxfId="200" priority="226" operator="between">
      <formula>"DAYCOVAL"</formula>
      <formula>"DAYCOVAL"</formula>
    </cfRule>
    <cfRule type="cellIs" dxfId="199" priority="225" operator="between">
      <formula>"SAFRA"</formula>
      <formula>"SAFRA"</formula>
    </cfRule>
    <cfRule type="cellIs" dxfId="198" priority="238" operator="between">
      <formula>"ITAÚ MATRIZ"</formula>
      <formula>"ITAÚ MATRIZ"</formula>
    </cfRule>
    <cfRule type="cellIs" dxfId="197" priority="150" operator="between">
      <formula>"ITAÚ MATRIZ"</formula>
      <formula>"ITAÚ MATRIZ"</formula>
    </cfRule>
    <cfRule type="cellIs" dxfId="196" priority="151" operator="equal">
      <formula>"ITAÚ"</formula>
    </cfRule>
    <cfRule type="cellIs" dxfId="195" priority="152" operator="equal">
      <formula>"ITAÚ MATRIZ"</formula>
    </cfRule>
    <cfRule type="cellIs" dxfId="194" priority="153" operator="between">
      <formula>"SAFRA"</formula>
      <formula>"SAFRA"</formula>
    </cfRule>
    <cfRule type="cellIs" dxfId="193" priority="154" operator="between">
      <formula>"SAFRA"</formula>
      <formula>"SAFRA"</formula>
    </cfRule>
    <cfRule type="cellIs" dxfId="192" priority="155" operator="between">
      <formula>"DAYCOVAL"</formula>
      <formula>"DAYCOVAL"</formula>
    </cfRule>
    <cfRule type="cellIs" dxfId="191" priority="156" operator="between">
      <formula>"ITAÚ FILIAL"</formula>
      <formula>"ITAÚ FILIAL"</formula>
    </cfRule>
    <cfRule type="cellIs" dxfId="190" priority="157" operator="between">
      <formula>"ITAÚ FILIAL"</formula>
      <formula>"ITAÚ FILIAL"</formula>
    </cfRule>
    <cfRule type="cellIs" dxfId="189" priority="160" operator="equal">
      <formula>"ITAÚ"</formula>
    </cfRule>
    <cfRule type="cellIs" dxfId="188" priority="161" operator="equal">
      <formula>"ITAÚ MATRIZ"</formula>
    </cfRule>
    <cfRule type="cellIs" dxfId="187" priority="162" operator="between">
      <formula>"SAFRA"</formula>
      <formula>"SAFRA"</formula>
    </cfRule>
    <cfRule type="cellIs" dxfId="186" priority="163" operator="between">
      <formula>"SAFRA"</formula>
      <formula>"SAFRA"</formula>
    </cfRule>
    <cfRule type="cellIs" dxfId="185" priority="164" operator="between">
      <formula>"DAYCOVAL"</formula>
      <formula>"DAYCOVAL"</formula>
    </cfRule>
    <cfRule type="cellIs" dxfId="184" priority="165" operator="between">
      <formula>"ITAÚ FILIAL"</formula>
      <formula>"ITAÚ FILIAL"</formula>
    </cfRule>
    <cfRule type="cellIs" dxfId="183" priority="166" operator="between">
      <formula>"ITAÚ FILIAL"</formula>
      <formula>"ITAÚ FILIAL"</formula>
    </cfRule>
    <cfRule type="cellIs" dxfId="182" priority="167" operator="between">
      <formula>"ITAÚ MATRIZ"</formula>
      <formula>"ITAÚ MATRIZ"</formula>
    </cfRule>
    <cfRule type="cellIs" dxfId="181" priority="168" operator="equal">
      <formula>"ITAÚ"</formula>
    </cfRule>
    <cfRule type="cellIs" dxfId="180" priority="224" operator="between">
      <formula>"SAFRA"</formula>
      <formula>"SAFRA"</formula>
    </cfRule>
    <cfRule type="cellIs" dxfId="179" priority="223" operator="equal">
      <formula>"ITAÚ MATRIZ"</formula>
    </cfRule>
    <cfRule type="cellIs" dxfId="178" priority="237" operator="between">
      <formula>"ITAÚ FILIAL"</formula>
      <formula>"ITAÚ FILIAL"</formula>
    </cfRule>
    <cfRule type="cellIs" dxfId="177" priority="169" operator="equal">
      <formula>"ITAÚ"</formula>
    </cfRule>
    <cfRule type="cellIs" dxfId="176" priority="170" operator="equal">
      <formula>"ITAÚ MATRIZ"</formula>
    </cfRule>
    <cfRule type="cellIs" dxfId="175" priority="171" operator="between">
      <formula>"SAFRA"</formula>
      <formula>"SAFRA"</formula>
    </cfRule>
    <cfRule type="cellIs" dxfId="174" priority="172" operator="between">
      <formula>"SAFRA"</formula>
      <formula>"SAFRA"</formula>
    </cfRule>
    <cfRule type="cellIs" dxfId="173" priority="173" operator="between">
      <formula>"DAYCOVAL"</formula>
      <formula>"DAYCOVAL"</formula>
    </cfRule>
    <cfRule type="cellIs" dxfId="172" priority="174" operator="between">
      <formula>"ITAÚ FILIAL"</formula>
      <formula>"ITAÚ FILIAL"</formula>
    </cfRule>
    <cfRule type="cellIs" dxfId="171" priority="175" operator="between">
      <formula>"ITAÚ FILIAL"</formula>
      <formula>"ITAÚ FILIAL"</formula>
    </cfRule>
    <cfRule type="cellIs" dxfId="170" priority="176" operator="between">
      <formula>"ITAÚ MATRIZ"</formula>
      <formula>"ITAÚ MATRIZ"</formula>
    </cfRule>
    <cfRule type="cellIs" dxfId="169" priority="177" operator="equal">
      <formula>"ITAÚ"</formula>
    </cfRule>
    <cfRule type="cellIs" dxfId="168" priority="178" operator="equal">
      <formula>"ITAÚ"</formula>
    </cfRule>
    <cfRule type="cellIs" dxfId="167" priority="179" operator="equal">
      <formula>"ITAÚ MATRIZ"</formula>
    </cfRule>
    <cfRule type="cellIs" dxfId="166" priority="180" operator="between">
      <formula>"SAFRA"</formula>
      <formula>"SAFRA"</formula>
    </cfRule>
    <cfRule type="cellIs" dxfId="165" priority="181" operator="between">
      <formula>"SAFRA"</formula>
      <formula>"SAFRA"</formula>
    </cfRule>
    <cfRule type="cellIs" dxfId="164" priority="182" operator="between">
      <formula>"DAYCOVAL"</formula>
      <formula>"DAYCOVAL"</formula>
    </cfRule>
    <cfRule type="cellIs" dxfId="163" priority="183" operator="between">
      <formula>"ITAÚ FILIAL"</formula>
      <formula>"ITAÚ FILIAL"</formula>
    </cfRule>
    <cfRule type="cellIs" dxfId="162" priority="184" operator="between">
      <formula>"ITAÚ FILIAL"</formula>
      <formula>"ITAÚ FILIAL"</formula>
    </cfRule>
    <cfRule type="cellIs" dxfId="161" priority="185" operator="between">
      <formula>"ITAÚ MATRIZ"</formula>
      <formula>"ITAÚ MATRIZ"</formula>
    </cfRule>
    <cfRule type="cellIs" dxfId="160" priority="236" operator="between">
      <formula>"ITAÚ FILIAL"</formula>
      <formula>"ITAÚ FILIAL"</formula>
    </cfRule>
    <cfRule type="cellIs" dxfId="159" priority="231" operator="equal">
      <formula>"ITAÚ"</formula>
    </cfRule>
    <cfRule type="cellIs" dxfId="158" priority="222" operator="between">
      <formula>"ITAÚ MATRIZ"</formula>
      <formula>"ITAÚ MATRIZ"</formula>
    </cfRule>
    <cfRule type="cellIs" dxfId="157" priority="186" operator="equal">
      <formula>"ITAÚ"</formula>
    </cfRule>
    <cfRule type="cellIs" dxfId="156" priority="187" operator="equal">
      <formula>"ITAÚ"</formula>
    </cfRule>
    <cfRule type="cellIs" dxfId="155" priority="188" operator="equal">
      <formula>"ITAÚ MATRIZ"</formula>
    </cfRule>
    <cfRule type="cellIs" dxfId="154" priority="189" operator="between">
      <formula>"SAFRA"</formula>
      <formula>"SAFRA"</formula>
    </cfRule>
    <cfRule type="cellIs" dxfId="153" priority="190" operator="between">
      <formula>"SAFRA"</formula>
      <formula>"SAFRA"</formula>
    </cfRule>
    <cfRule type="cellIs" dxfId="152" priority="191" operator="between">
      <formula>"DAYCOVAL"</formula>
      <formula>"DAYCOVAL"</formula>
    </cfRule>
    <cfRule type="cellIs" dxfId="151" priority="192" operator="between">
      <formula>"ITAÚ FILIAL"</formula>
      <formula>"ITAÚ FILIAL"</formula>
    </cfRule>
    <cfRule type="cellIs" dxfId="150" priority="193" operator="between">
      <formula>"ITAÚ FILIAL"</formula>
      <formula>"ITAÚ FILIAL"</formula>
    </cfRule>
    <cfRule type="cellIs" dxfId="149" priority="194" operator="between">
      <formula>"ITAÚ MATRIZ"</formula>
      <formula>"ITAÚ MATRIZ"</formula>
    </cfRule>
    <cfRule type="cellIs" dxfId="148" priority="195" operator="equal">
      <formula>"ITAÚ"</formula>
    </cfRule>
    <cfRule type="cellIs" dxfId="147" priority="196" operator="equal">
      <formula>"ITAÚ"</formula>
    </cfRule>
    <cfRule type="cellIs" dxfId="146" priority="197" operator="between">
      <formula>"SAFRA"</formula>
      <formula>"SAFRA"</formula>
    </cfRule>
    <cfRule type="cellIs" dxfId="145" priority="198" operator="between">
      <formula>"SAFRA"</formula>
      <formula>"SAFRA"</formula>
    </cfRule>
    <cfRule type="cellIs" dxfId="144" priority="199" operator="between">
      <formula>"DAYCOVAL"</formula>
      <formula>"DAYCOVAL"</formula>
    </cfRule>
    <cfRule type="cellIs" dxfId="143" priority="200" operator="between">
      <formula>"ITAÚ FILIAL"</formula>
      <formula>"ITAÚ FILIAL"</formula>
    </cfRule>
    <cfRule type="cellIs" dxfId="142" priority="201" operator="between">
      <formula>"ITAÚ FILIAL"</formula>
      <formula>"ITAÚ FILIAL"</formula>
    </cfRule>
    <cfRule type="cellIs" dxfId="141" priority="202" operator="equal">
      <formula>"ITAÚ"</formula>
    </cfRule>
    <cfRule type="cellIs" dxfId="140" priority="203" operator="equal">
      <formula>"ITAÚ MATRIZ"</formula>
    </cfRule>
    <cfRule type="cellIs" dxfId="139" priority="204" operator="between">
      <formula>"ITAÚ MATRIZ"</formula>
      <formula>"ITAÚ MATRIZ"</formula>
    </cfRule>
    <cfRule type="cellIs" dxfId="138" priority="205" operator="equal">
      <formula>"ITAÚ"</formula>
    </cfRule>
    <cfRule type="cellIs" dxfId="137" priority="206" operator="equal">
      <formula>"ITAÚ MATRIZ"</formula>
    </cfRule>
    <cfRule type="cellIs" dxfId="136" priority="207" operator="between">
      <formula>"SAFRA"</formula>
      <formula>"SAFRA"</formula>
    </cfRule>
    <cfRule type="cellIs" dxfId="135" priority="208" operator="between">
      <formula>"SAFRA"</formula>
      <formula>"SAFRA"</formula>
    </cfRule>
    <cfRule type="cellIs" dxfId="134" priority="209" operator="between">
      <formula>"DAYCOVAL"</formula>
      <formula>"DAYCOVAL"</formula>
    </cfRule>
    <cfRule type="cellIs" dxfId="133" priority="210" operator="between">
      <formula>"ITAÚ FILIAL"</formula>
      <formula>"ITAÚ FILIAL"</formula>
    </cfRule>
    <cfRule type="cellIs" dxfId="132" priority="211" operator="between">
      <formula>"ITAÚ FILIAL"</formula>
      <formula>"ITAÚ FILIAL"</formula>
    </cfRule>
    <cfRule type="cellIs" dxfId="131" priority="212" operator="between">
      <formula>"ITAÚ MATRIZ"</formula>
      <formula>"ITAÚ MATRIZ"</formula>
    </cfRule>
    <cfRule type="cellIs" dxfId="130" priority="213" operator="equal">
      <formula>"ITAÚ"</formula>
    </cfRule>
    <cfRule type="cellIs" dxfId="129" priority="214" operator="equal">
      <formula>"ITAÚ"</formula>
    </cfRule>
    <cfRule type="cellIs" dxfId="128" priority="215" operator="between">
      <formula>"SAFRA"</formula>
      <formula>"SAFRA"</formula>
    </cfRule>
    <cfRule type="cellIs" dxfId="127" priority="216" operator="between">
      <formula>"SAFRA"</formula>
      <formula>"SAFRA"</formula>
    </cfRule>
    <cfRule type="cellIs" dxfId="126" priority="217" operator="between">
      <formula>"DAYCOVAL"</formula>
      <formula>"DAYCOVAL"</formula>
    </cfRule>
    <cfRule type="cellIs" dxfId="125" priority="218" operator="between">
      <formula>"ITAÚ FILIAL"</formula>
      <formula>"ITAÚ FILIAL"</formula>
    </cfRule>
    <cfRule type="cellIs" dxfId="124" priority="219" operator="between">
      <formula>"ITAÚ FILIAL"</formula>
      <formula>"ITAÚ FILIAL"</formula>
    </cfRule>
    <cfRule type="cellIs" dxfId="123" priority="220" operator="equal">
      <formula>"ITAÚ"</formula>
    </cfRule>
    <cfRule type="cellIs" dxfId="122" priority="228" operator="between">
      <formula>"ITAÚ FILIAL"</formula>
      <formula>"ITAÚ FILIAL"</formula>
    </cfRule>
  </conditionalFormatting>
  <conditionalFormatting sqref="I485:I489">
    <cfRule type="cellIs" dxfId="121" priority="2954" operator="between">
      <formula>"DAYCOVAL"</formula>
      <formula>"DAYCOVAL"</formula>
    </cfRule>
    <cfRule type="cellIs" dxfId="120" priority="2958" operator="equal">
      <formula>"ITAÚ"</formula>
    </cfRule>
    <cfRule type="cellIs" dxfId="119" priority="2953" operator="between">
      <formula>"SAFRA"</formula>
      <formula>"SAFRA"</formula>
    </cfRule>
    <cfRule type="cellIs" dxfId="118" priority="2952" operator="between">
      <formula>"SAFRA"</formula>
      <formula>"SAFRA"</formula>
    </cfRule>
    <cfRule type="cellIs" dxfId="117" priority="2951" operator="equal">
      <formula>"ITAÚ MATRIZ"</formula>
    </cfRule>
  </conditionalFormatting>
  <conditionalFormatting sqref="I485:I501">
    <cfRule type="cellIs" dxfId="116" priority="2959" operator="equal">
      <formula>"ITAÚ"</formula>
    </cfRule>
  </conditionalFormatting>
  <conditionalFormatting sqref="I489">
    <cfRule type="cellIs" dxfId="115" priority="2945" operator="between">
      <formula>"DAYCOVAL"</formula>
      <formula>"DAYCOVAL"</formula>
    </cfRule>
    <cfRule type="cellIs" dxfId="114" priority="2938" operator="between">
      <formula>"ITAÚ FILIAL"</formula>
      <formula>"ITAÚ FILIAL"</formula>
    </cfRule>
    <cfRule type="cellIs" dxfId="113" priority="2955" operator="between">
      <formula>"ITAÚ FILIAL"</formula>
      <formula>"ITAÚ FILIAL"</formula>
    </cfRule>
    <cfRule type="cellIs" dxfId="112" priority="2956" operator="between">
      <formula>"ITAÚ FILIAL"</formula>
      <formula>"ITAÚ FILIAL"</formula>
    </cfRule>
    <cfRule type="cellIs" dxfId="111" priority="2957" operator="between">
      <formula>"ITAÚ MATRIZ"</formula>
      <formula>"ITAÚ MATRIZ"</formula>
    </cfRule>
    <cfRule type="cellIs" dxfId="110" priority="2944" operator="between">
      <formula>"SAFRA"</formula>
      <formula>"SAFRA"</formula>
    </cfRule>
    <cfRule type="cellIs" dxfId="109" priority="2943" operator="between">
      <formula>"SAFRA"</formula>
      <formula>"SAFRA"</formula>
    </cfRule>
    <cfRule type="cellIs" dxfId="108" priority="2941" operator="between">
      <formula>"ITAÚ MATRIZ"</formula>
      <formula>"ITAÚ MATRIZ"</formula>
    </cfRule>
    <cfRule type="cellIs" dxfId="107" priority="2940" operator="equal">
      <formula>"ITAÚ MATRIZ"</formula>
    </cfRule>
    <cfRule type="cellIs" dxfId="106" priority="2950" operator="equal">
      <formula>"ITAÚ"</formula>
    </cfRule>
    <cfRule type="cellIs" dxfId="105" priority="2948" operator="between">
      <formula>"ITAÚ MATRIZ"</formula>
      <formula>"ITAÚ MATRIZ"</formula>
    </cfRule>
    <cfRule type="cellIs" dxfId="104" priority="2947" operator="between">
      <formula>"ITAÚ FILIAL"</formula>
      <formula>"ITAÚ FILIAL"</formula>
    </cfRule>
    <cfRule type="cellIs" dxfId="103" priority="2939" operator="equal">
      <formula>"ITAÚ"</formula>
    </cfRule>
    <cfRule type="cellIs" dxfId="102" priority="2946" operator="between">
      <formula>"ITAÚ FILIAL"</formula>
      <formula>"ITAÚ FILIAL"</formula>
    </cfRule>
    <cfRule type="cellIs" dxfId="101" priority="2853" operator="equal">
      <formula>"ITAÚ MATRIZ"</formula>
    </cfRule>
    <cfRule type="cellIs" dxfId="100" priority="2854" operator="between">
      <formula>"SAFRA"</formula>
      <formula>"SAFRA"</formula>
    </cfRule>
    <cfRule type="cellIs" dxfId="99" priority="2855" operator="between">
      <formula>"SAFRA"</formula>
      <formula>"SAFRA"</formula>
    </cfRule>
    <cfRule type="cellIs" dxfId="98" priority="2856" operator="between">
      <formula>"DAYCOVAL"</formula>
      <formula>"DAYCOVAL"</formula>
    </cfRule>
    <cfRule type="cellIs" dxfId="97" priority="2857" operator="between">
      <formula>"ITAÚ FILIAL"</formula>
      <formula>"ITAÚ FILIAL"</formula>
    </cfRule>
    <cfRule type="cellIs" dxfId="96" priority="2858" operator="between">
      <formula>"ITAÚ FILIAL"</formula>
      <formula>"ITAÚ FILIAL"</formula>
    </cfRule>
    <cfRule type="cellIs" dxfId="95" priority="2859" operator="between">
      <formula>"ITAÚ MATRIZ"</formula>
      <formula>"ITAÚ MATRIZ"</formula>
    </cfRule>
    <cfRule type="cellIs" dxfId="94" priority="2860" operator="equal">
      <formula>"ITAÚ"</formula>
    </cfRule>
    <cfRule type="cellIs" dxfId="93" priority="2861" operator="equal">
      <formula>"ITAÚ"</formula>
    </cfRule>
    <cfRule type="cellIs" dxfId="92" priority="2862" operator="between">
      <formula>"SAFRA"</formula>
      <formula>"SAFRA"</formula>
    </cfRule>
    <cfRule type="cellIs" dxfId="91" priority="2863" operator="between">
      <formula>"SAFRA"</formula>
      <formula>"SAFRA"</formula>
    </cfRule>
    <cfRule type="cellIs" dxfId="90" priority="2864" operator="between">
      <formula>"DAYCOVAL"</formula>
      <formula>"DAYCOVAL"</formula>
    </cfRule>
    <cfRule type="cellIs" dxfId="89" priority="2865" operator="between">
      <formula>"ITAÚ FILIAL"</formula>
      <formula>"ITAÚ FILIAL"</formula>
    </cfRule>
    <cfRule type="cellIs" dxfId="88" priority="2866" operator="between">
      <formula>"ITAÚ FILIAL"</formula>
      <formula>"ITAÚ FILIAL"</formula>
    </cfRule>
    <cfRule type="cellIs" dxfId="87" priority="2867" operator="equal">
      <formula>"ITAÚ"</formula>
    </cfRule>
    <cfRule type="cellIs" dxfId="86" priority="2868" operator="equal">
      <formula>"ITAÚ MATRIZ"</formula>
    </cfRule>
    <cfRule type="cellIs" dxfId="85" priority="2869" operator="between">
      <formula>"ITAÚ MATRIZ"</formula>
      <formula>"ITAÚ MATRIZ"</formula>
    </cfRule>
    <cfRule type="cellIs" dxfId="84" priority="2870" operator="equal">
      <formula>"ITAÚ"</formula>
    </cfRule>
    <cfRule type="cellIs" dxfId="83" priority="2871" operator="equal">
      <formula>"ITAÚ MATRIZ"</formula>
    </cfRule>
    <cfRule type="cellIs" dxfId="82" priority="2872" operator="between">
      <formula>"SAFRA"</formula>
      <formula>"SAFRA"</formula>
    </cfRule>
    <cfRule type="cellIs" dxfId="81" priority="2873" operator="between">
      <formula>"SAFRA"</formula>
      <formula>"SAFRA"</formula>
    </cfRule>
    <cfRule type="cellIs" dxfId="80" priority="2874" operator="between">
      <formula>"DAYCOVAL"</formula>
      <formula>"DAYCOVAL"</formula>
    </cfRule>
    <cfRule type="cellIs" dxfId="79" priority="2875" operator="between">
      <formula>"ITAÚ FILIAL"</formula>
      <formula>"ITAÚ FILIAL"</formula>
    </cfRule>
    <cfRule type="cellIs" dxfId="78" priority="2876" operator="between">
      <formula>"ITAÚ FILIAL"</formula>
      <formula>"ITAÚ FILIAL"</formula>
    </cfRule>
    <cfRule type="cellIs" dxfId="77" priority="2877" operator="between">
      <formula>"ITAÚ MATRIZ"</formula>
      <formula>"ITAÚ MATRIZ"</formula>
    </cfRule>
    <cfRule type="cellIs" dxfId="76" priority="2878" operator="equal">
      <formula>"ITAÚ"</formula>
    </cfRule>
    <cfRule type="cellIs" dxfId="75" priority="2879" operator="equal">
      <formula>"ITAÚ"</formula>
    </cfRule>
    <cfRule type="cellIs" dxfId="74" priority="2880" operator="equal">
      <formula>"ITAÚ MATRIZ"</formula>
    </cfRule>
    <cfRule type="cellIs" dxfId="73" priority="2881" operator="between">
      <formula>"SAFRA"</formula>
      <formula>"SAFRA"</formula>
    </cfRule>
    <cfRule type="cellIs" dxfId="72" priority="2882" operator="between">
      <formula>"SAFRA"</formula>
      <formula>"SAFRA"</formula>
    </cfRule>
    <cfRule type="cellIs" dxfId="71" priority="2883" operator="between">
      <formula>"DAYCOVAL"</formula>
      <formula>"DAYCOVAL"</formula>
    </cfRule>
    <cfRule type="cellIs" dxfId="70" priority="2884" operator="between">
      <formula>"ITAÚ FILIAL"</formula>
      <formula>"ITAÚ FILIAL"</formula>
    </cfRule>
    <cfRule type="cellIs" dxfId="69" priority="2885" operator="between">
      <formula>"ITAÚ FILIAL"</formula>
      <formula>"ITAÚ FILIAL"</formula>
    </cfRule>
    <cfRule type="cellIs" dxfId="68" priority="2886" operator="between">
      <formula>"ITAÚ MATRIZ"</formula>
      <formula>"ITAÚ MATRIZ"</formula>
    </cfRule>
    <cfRule type="cellIs" dxfId="67" priority="2887" operator="equal">
      <formula>"ITAÚ"</formula>
    </cfRule>
    <cfRule type="cellIs" dxfId="66" priority="2888" operator="equal">
      <formula>"ITAÚ"</formula>
    </cfRule>
    <cfRule type="cellIs" dxfId="65" priority="2889" operator="equal">
      <formula>"ITAÚ MATRIZ"</formula>
    </cfRule>
    <cfRule type="cellIs" dxfId="64" priority="2890" operator="between">
      <formula>"SAFRA"</formula>
      <formula>"SAFRA"</formula>
    </cfRule>
    <cfRule type="cellIs" dxfId="63" priority="2891" operator="between">
      <formula>"SAFRA"</formula>
      <formula>"SAFRA"</formula>
    </cfRule>
    <cfRule type="cellIs" dxfId="62" priority="2892" operator="between">
      <formula>"DAYCOVAL"</formula>
      <formula>"DAYCOVAL"</formula>
    </cfRule>
    <cfRule type="cellIs" dxfId="61" priority="2893" operator="between">
      <formula>"ITAÚ FILIAL"</formula>
      <formula>"ITAÚ FILIAL"</formula>
    </cfRule>
    <cfRule type="cellIs" dxfId="60" priority="2894" operator="between">
      <formula>"ITAÚ FILIAL"</formula>
      <formula>"ITAÚ FILIAL"</formula>
    </cfRule>
    <cfRule type="cellIs" dxfId="59" priority="2895" operator="between">
      <formula>"ITAÚ MATRIZ"</formula>
      <formula>"ITAÚ MATRIZ"</formula>
    </cfRule>
    <cfRule type="cellIs" dxfId="58" priority="2896" operator="equal">
      <formula>"ITAÚ"</formula>
    </cfRule>
    <cfRule type="cellIs" dxfId="57" priority="2897" operator="equal">
      <formula>"ITAÚ"</formula>
    </cfRule>
    <cfRule type="cellIs" dxfId="56" priority="2898" operator="equal">
      <formula>"ITAÚ MATRIZ"</formula>
    </cfRule>
    <cfRule type="cellIs" dxfId="55" priority="2899" operator="between">
      <formula>"SAFRA"</formula>
      <formula>"SAFRA"</formula>
    </cfRule>
    <cfRule type="cellIs" dxfId="54" priority="2900" operator="between">
      <formula>"SAFRA"</formula>
      <formula>"SAFRA"</formula>
    </cfRule>
    <cfRule type="cellIs" dxfId="53" priority="2901" operator="between">
      <formula>"DAYCOVAL"</formula>
      <formula>"DAYCOVAL"</formula>
    </cfRule>
    <cfRule type="cellIs" dxfId="52" priority="2902" operator="between">
      <formula>"ITAÚ FILIAL"</formula>
      <formula>"ITAÚ FILIAL"</formula>
    </cfRule>
    <cfRule type="cellIs" dxfId="51" priority="2903" operator="between">
      <formula>"ITAÚ FILIAL"</formula>
      <formula>"ITAÚ FILIAL"</formula>
    </cfRule>
    <cfRule type="cellIs" dxfId="50" priority="2904" operator="between">
      <formula>"ITAÚ MATRIZ"</formula>
      <formula>"ITAÚ MATRIZ"</formula>
    </cfRule>
    <cfRule type="cellIs" dxfId="49" priority="2905" operator="equal">
      <formula>"ITAÚ"</formula>
    </cfRule>
    <cfRule type="cellIs" dxfId="48" priority="2906" operator="equal">
      <formula>"ITAÚ"</formula>
    </cfRule>
    <cfRule type="cellIs" dxfId="47" priority="2907" operator="equal">
      <formula>"ITAÚ MATRIZ"</formula>
    </cfRule>
    <cfRule type="cellIs" dxfId="46" priority="2908" operator="between">
      <formula>"SAFRA"</formula>
      <formula>"SAFRA"</formula>
    </cfRule>
    <cfRule type="cellIs" dxfId="45" priority="2909" operator="between">
      <formula>"SAFRA"</formula>
      <formula>"SAFRA"</formula>
    </cfRule>
    <cfRule type="cellIs" dxfId="44" priority="2910" operator="between">
      <formula>"DAYCOVAL"</formula>
      <formula>"DAYCOVAL"</formula>
    </cfRule>
    <cfRule type="cellIs" dxfId="43" priority="2911" operator="between">
      <formula>"ITAÚ FILIAL"</formula>
      <formula>"ITAÚ FILIAL"</formula>
    </cfRule>
    <cfRule type="cellIs" dxfId="42" priority="2912" operator="between">
      <formula>"ITAÚ FILIAL"</formula>
      <formula>"ITAÚ FILIAL"</formula>
    </cfRule>
    <cfRule type="cellIs" dxfId="41" priority="2913" operator="between">
      <formula>"ITAÚ MATRIZ"</formula>
      <formula>"ITAÚ MATRIZ"</formula>
    </cfRule>
    <cfRule type="cellIs" dxfId="40" priority="2914" operator="equal">
      <formula>"ITAÚ"</formula>
    </cfRule>
    <cfRule type="cellIs" dxfId="39" priority="2915" operator="equal">
      <formula>"ITAÚ"</formula>
    </cfRule>
    <cfRule type="cellIs" dxfId="38" priority="2916" operator="between">
      <formula>"SAFRA"</formula>
      <formula>"SAFRA"</formula>
    </cfRule>
    <cfRule type="cellIs" dxfId="37" priority="2917" operator="between">
      <formula>"SAFRA"</formula>
      <formula>"SAFRA"</formula>
    </cfRule>
    <cfRule type="cellIs" dxfId="36" priority="2918" operator="between">
      <formula>"DAYCOVAL"</formula>
      <formula>"DAYCOVAL"</formula>
    </cfRule>
    <cfRule type="cellIs" dxfId="35" priority="2919" operator="between">
      <formula>"ITAÚ FILIAL"</formula>
      <formula>"ITAÚ FILIAL"</formula>
    </cfRule>
    <cfRule type="cellIs" dxfId="34" priority="2920" operator="between">
      <formula>"ITAÚ FILIAL"</formula>
      <formula>"ITAÚ FILIAL"</formula>
    </cfRule>
    <cfRule type="cellIs" dxfId="33" priority="2921" operator="equal">
      <formula>"ITAÚ"</formula>
    </cfRule>
    <cfRule type="cellIs" dxfId="32" priority="2922" operator="equal">
      <formula>"ITAÚ MATRIZ"</formula>
    </cfRule>
    <cfRule type="cellIs" dxfId="31" priority="2923" operator="between">
      <formula>"ITAÚ MATRIZ"</formula>
      <formula>"ITAÚ MATRIZ"</formula>
    </cfRule>
    <cfRule type="cellIs" dxfId="30" priority="2924" operator="equal">
      <formula>"ITAÚ"</formula>
    </cfRule>
    <cfRule type="cellIs" dxfId="29" priority="2925" operator="equal">
      <formula>"ITAÚ MATRIZ"</formula>
    </cfRule>
    <cfRule type="cellIs" dxfId="28" priority="2926" operator="between">
      <formula>"SAFRA"</formula>
      <formula>"SAFRA"</formula>
    </cfRule>
    <cfRule type="cellIs" dxfId="27" priority="2927" operator="between">
      <formula>"SAFRA"</formula>
      <formula>"SAFRA"</formula>
    </cfRule>
    <cfRule type="cellIs" dxfId="26" priority="2928" operator="between">
      <formula>"DAYCOVAL"</formula>
      <formula>"DAYCOVAL"</formula>
    </cfRule>
    <cfRule type="cellIs" dxfId="25" priority="2929" operator="between">
      <formula>"ITAÚ FILIAL"</formula>
      <formula>"ITAÚ FILIAL"</formula>
    </cfRule>
    <cfRule type="cellIs" dxfId="24" priority="2930" operator="between">
      <formula>"ITAÚ FILIAL"</formula>
      <formula>"ITAÚ FILIAL"</formula>
    </cfRule>
    <cfRule type="cellIs" dxfId="23" priority="2931" operator="between">
      <formula>"ITAÚ MATRIZ"</formula>
      <formula>"ITAÚ MATRIZ"</formula>
    </cfRule>
    <cfRule type="cellIs" dxfId="22" priority="2932" operator="equal">
      <formula>"ITAÚ"</formula>
    </cfRule>
    <cfRule type="cellIs" dxfId="21" priority="2933" operator="equal">
      <formula>"ITAÚ"</formula>
    </cfRule>
    <cfRule type="cellIs" dxfId="20" priority="2934" operator="between">
      <formula>"SAFRA"</formula>
      <formula>"SAFRA"</formula>
    </cfRule>
    <cfRule type="cellIs" dxfId="19" priority="2935" operator="between">
      <formula>"SAFRA"</formula>
      <formula>"SAFRA"</formula>
    </cfRule>
    <cfRule type="cellIs" dxfId="18" priority="2936" operator="between">
      <formula>"DAYCOVAL"</formula>
      <formula>"DAYCOVAL"</formula>
    </cfRule>
    <cfRule type="cellIs" dxfId="17" priority="2937" operator="between">
      <formula>"ITAÚ FILIAL"</formula>
      <formula>"ITAÚ FILIAL"</formula>
    </cfRule>
    <cfRule type="cellIs" dxfId="16" priority="2942" operator="equal">
      <formula>"ITAÚ MATRIZ"</formula>
    </cfRule>
  </conditionalFormatting>
  <conditionalFormatting sqref="I503:I1048576">
    <cfRule type="cellIs" dxfId="15" priority="13127" operator="equal">
      <formula>"ITAÚ ("</formula>
    </cfRule>
    <cfRule type="cellIs" dxfId="14" priority="13125" operator="equal">
      <formula>"ITAÚ - FILIAL (CG)"</formula>
    </cfRule>
    <cfRule type="cellIs" dxfId="13" priority="13124" operator="equal">
      <formula>"DAYCOVAL (CG)"</formula>
    </cfRule>
    <cfRule type="cellIs" dxfId="12" priority="13126" operator="equal">
      <formula>"ITAÚ - MATRIZ (CG)"</formula>
    </cfRule>
    <cfRule type="cellIs" dxfId="11" priority="13123" operator="equal">
      <formula>"OPERAÇÕES (ANDREIA)"</formula>
    </cfRule>
    <cfRule type="cellIs" dxfId="10" priority="13122" operator="equal">
      <formula>"PAGAMENTOS (ANDREIA)"</formula>
    </cfRule>
  </conditionalFormatting>
  <printOptions horizontalCentered="1"/>
  <pageMargins left="0.11811023622047245" right="0.11811023622047245" top="0.19685039370078741" bottom="0.19685039370078741" header="0.31496062992125984" footer="0.31496062992125984"/>
  <pageSetup paperSize="9" scale="52" orientation="portrait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1EBC9-F717-413A-917E-95D6CA15B53E}">
          <x14:formula1>
            <xm:f>BD!$G$2:$G$79</xm:f>
          </x14:formula1>
          <xm:sqref>E458:F459 E450:F451 E443:F443 E435:F436 E427:F428 E420:F420 E412:F413 E404:F405 E397:F397 E389:F390 E381:F382 E374:F374 E366:F367 E358:F359 E351:F351 E343:F344 E260:F284 F321:F326 E334:F340 E288:E326 F288:F318 E329:F332 E483:F484 E475:F476 E468:F468 E489:F489</xm:sqref>
        </x14:dataValidation>
        <x14:dataValidation type="list" allowBlank="1" showInputMessage="1" showErrorMessage="1" xr:uid="{844C0A58-7F79-4BB4-9D01-58921BAB9FA0}">
          <x14:formula1>
            <xm:f>BD!$A$2:$A$20</xm:f>
          </x14:formula1>
          <xm:sqref>I5:I489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99C6-0794-4C54-927D-36FA2282DA2A}">
  <dimension ref="A3:B109"/>
  <sheetViews>
    <sheetView topLeftCell="A100" workbookViewId="0">
      <selection activeCell="F15" sqref="F15"/>
    </sheetView>
  </sheetViews>
  <sheetFormatPr baseColWidth="10" defaultColWidth="8.83203125" defaultRowHeight="13" x14ac:dyDescent="0.15"/>
  <cols>
    <col min="1" max="1" width="45.6640625" bestFit="1" customWidth="1"/>
    <col min="2" max="2" width="16" style="63" bestFit="1" customWidth="1"/>
  </cols>
  <sheetData>
    <row r="3" spans="1:2" x14ac:dyDescent="0.15">
      <c r="A3" s="63" t="e" vm="1">
        <v>#VALUE!</v>
      </c>
      <c r="B3"/>
    </row>
    <row r="4" spans="1:2" x14ac:dyDescent="0.15">
      <c r="B4"/>
    </row>
    <row r="5" spans="1:2" x14ac:dyDescent="0.15">
      <c r="B5"/>
    </row>
    <row r="6" spans="1:2" x14ac:dyDescent="0.15">
      <c r="B6"/>
    </row>
    <row r="7" spans="1:2" x14ac:dyDescent="0.15">
      <c r="B7"/>
    </row>
    <row r="8" spans="1:2" x14ac:dyDescent="0.15">
      <c r="B8"/>
    </row>
    <row r="9" spans="1:2" x14ac:dyDescent="0.15">
      <c r="B9"/>
    </row>
    <row r="10" spans="1:2" x14ac:dyDescent="0.15">
      <c r="B10"/>
    </row>
    <row r="11" spans="1:2" x14ac:dyDescent="0.15">
      <c r="B11"/>
    </row>
    <row r="12" spans="1:2" x14ac:dyDescent="0.15">
      <c r="B12"/>
    </row>
    <row r="13" spans="1:2" x14ac:dyDescent="0.15">
      <c r="B13"/>
    </row>
    <row r="14" spans="1:2" x14ac:dyDescent="0.15">
      <c r="B14"/>
    </row>
    <row r="15" spans="1:2" x14ac:dyDescent="0.15">
      <c r="B15"/>
    </row>
    <row r="16" spans="1:2" x14ac:dyDescent="0.15">
      <c r="B16"/>
    </row>
    <row r="17" spans="2:2" x14ac:dyDescent="0.15">
      <c r="B17"/>
    </row>
    <row r="18" spans="2:2" x14ac:dyDescent="0.15">
      <c r="B18"/>
    </row>
    <row r="19" spans="2:2" x14ac:dyDescent="0.15">
      <c r="B19"/>
    </row>
    <row r="20" spans="2:2" x14ac:dyDescent="0.15">
      <c r="B20"/>
    </row>
    <row r="21" spans="2:2" x14ac:dyDescent="0.15">
      <c r="B21"/>
    </row>
    <row r="22" spans="2:2" x14ac:dyDescent="0.15">
      <c r="B22"/>
    </row>
    <row r="23" spans="2:2" x14ac:dyDescent="0.15">
      <c r="B23"/>
    </row>
    <row r="24" spans="2:2" x14ac:dyDescent="0.15">
      <c r="B24"/>
    </row>
    <row r="25" spans="2:2" x14ac:dyDescent="0.15">
      <c r="B25"/>
    </row>
    <row r="26" spans="2:2" x14ac:dyDescent="0.15">
      <c r="B26"/>
    </row>
    <row r="27" spans="2:2" x14ac:dyDescent="0.15">
      <c r="B27"/>
    </row>
    <row r="28" spans="2:2" x14ac:dyDescent="0.15">
      <c r="B28"/>
    </row>
    <row r="29" spans="2:2" x14ac:dyDescent="0.15">
      <c r="B29"/>
    </row>
    <row r="30" spans="2:2" x14ac:dyDescent="0.15">
      <c r="B30"/>
    </row>
    <row r="31" spans="2:2" x14ac:dyDescent="0.15">
      <c r="B31"/>
    </row>
    <row r="32" spans="2:2" x14ac:dyDescent="0.15">
      <c r="B32"/>
    </row>
    <row r="33" spans="2:2" x14ac:dyDescent="0.15">
      <c r="B33"/>
    </row>
    <row r="34" spans="2:2" x14ac:dyDescent="0.15">
      <c r="B34"/>
    </row>
    <row r="35" spans="2:2" x14ac:dyDescent="0.15">
      <c r="B35"/>
    </row>
    <row r="36" spans="2:2" x14ac:dyDescent="0.15">
      <c r="B36"/>
    </row>
    <row r="37" spans="2:2" x14ac:dyDescent="0.15">
      <c r="B37"/>
    </row>
    <row r="38" spans="2:2" x14ac:dyDescent="0.15">
      <c r="B38"/>
    </row>
    <row r="39" spans="2:2" x14ac:dyDescent="0.15">
      <c r="B39"/>
    </row>
    <row r="40" spans="2:2" x14ac:dyDescent="0.15">
      <c r="B40"/>
    </row>
    <row r="41" spans="2:2" x14ac:dyDescent="0.15">
      <c r="B41"/>
    </row>
    <row r="42" spans="2:2" x14ac:dyDescent="0.15">
      <c r="B42"/>
    </row>
    <row r="43" spans="2:2" x14ac:dyDescent="0.15">
      <c r="B43"/>
    </row>
    <row r="44" spans="2:2" x14ac:dyDescent="0.15">
      <c r="B44"/>
    </row>
    <row r="45" spans="2:2" x14ac:dyDescent="0.15">
      <c r="B45"/>
    </row>
    <row r="46" spans="2:2" x14ac:dyDescent="0.15">
      <c r="B46"/>
    </row>
    <row r="47" spans="2:2" x14ac:dyDescent="0.15">
      <c r="B47"/>
    </row>
    <row r="48" spans="2:2" x14ac:dyDescent="0.15">
      <c r="B48"/>
    </row>
    <row r="49" spans="2:2" x14ac:dyDescent="0.15">
      <c r="B49"/>
    </row>
    <row r="50" spans="2:2" x14ac:dyDescent="0.15">
      <c r="B50"/>
    </row>
    <row r="51" spans="2:2" x14ac:dyDescent="0.15">
      <c r="B51"/>
    </row>
    <row r="52" spans="2:2" x14ac:dyDescent="0.15">
      <c r="B52"/>
    </row>
    <row r="53" spans="2:2" x14ac:dyDescent="0.15">
      <c r="B53"/>
    </row>
    <row r="54" spans="2:2" x14ac:dyDescent="0.15">
      <c r="B54"/>
    </row>
    <row r="55" spans="2:2" x14ac:dyDescent="0.15">
      <c r="B55"/>
    </row>
    <row r="56" spans="2:2" x14ac:dyDescent="0.15">
      <c r="B56"/>
    </row>
    <row r="57" spans="2:2" x14ac:dyDescent="0.15">
      <c r="B57"/>
    </row>
    <row r="58" spans="2:2" x14ac:dyDescent="0.15">
      <c r="B58"/>
    </row>
    <row r="59" spans="2:2" x14ac:dyDescent="0.15">
      <c r="B59"/>
    </row>
    <row r="60" spans="2:2" x14ac:dyDescent="0.15">
      <c r="B60"/>
    </row>
    <row r="61" spans="2:2" x14ac:dyDescent="0.15">
      <c r="B61"/>
    </row>
    <row r="62" spans="2:2" x14ac:dyDescent="0.15">
      <c r="B62"/>
    </row>
    <row r="63" spans="2:2" x14ac:dyDescent="0.15">
      <c r="B63"/>
    </row>
    <row r="64" spans="2:2" x14ac:dyDescent="0.15">
      <c r="B64"/>
    </row>
    <row r="65" spans="2:2" x14ac:dyDescent="0.15">
      <c r="B65"/>
    </row>
    <row r="66" spans="2:2" x14ac:dyDescent="0.15">
      <c r="B66"/>
    </row>
    <row r="67" spans="2:2" x14ac:dyDescent="0.15">
      <c r="B67"/>
    </row>
    <row r="68" spans="2:2" x14ac:dyDescent="0.15">
      <c r="B68"/>
    </row>
    <row r="69" spans="2:2" x14ac:dyDescent="0.15">
      <c r="B69"/>
    </row>
    <row r="70" spans="2:2" x14ac:dyDescent="0.15">
      <c r="B70"/>
    </row>
    <row r="71" spans="2:2" x14ac:dyDescent="0.15">
      <c r="B71"/>
    </row>
    <row r="72" spans="2:2" x14ac:dyDescent="0.15">
      <c r="B72"/>
    </row>
    <row r="73" spans="2:2" x14ac:dyDescent="0.15">
      <c r="B73"/>
    </row>
    <row r="74" spans="2:2" x14ac:dyDescent="0.15">
      <c r="B74"/>
    </row>
    <row r="75" spans="2:2" x14ac:dyDescent="0.15">
      <c r="B75"/>
    </row>
    <row r="76" spans="2:2" x14ac:dyDescent="0.15">
      <c r="B76"/>
    </row>
    <row r="77" spans="2:2" x14ac:dyDescent="0.15">
      <c r="B77"/>
    </row>
    <row r="78" spans="2:2" x14ac:dyDescent="0.15">
      <c r="B78"/>
    </row>
    <row r="79" spans="2:2" x14ac:dyDescent="0.15">
      <c r="B79"/>
    </row>
    <row r="80" spans="2:2" x14ac:dyDescent="0.15">
      <c r="B80"/>
    </row>
    <row r="81" spans="2:2" x14ac:dyDescent="0.15">
      <c r="B81"/>
    </row>
    <row r="82" spans="2:2" x14ac:dyDescent="0.15">
      <c r="B82"/>
    </row>
    <row r="83" spans="2:2" x14ac:dyDescent="0.15">
      <c r="B83"/>
    </row>
    <row r="84" spans="2:2" x14ac:dyDescent="0.15">
      <c r="B84"/>
    </row>
    <row r="85" spans="2:2" x14ac:dyDescent="0.15">
      <c r="B85"/>
    </row>
    <row r="86" spans="2:2" x14ac:dyDescent="0.15">
      <c r="B86"/>
    </row>
    <row r="87" spans="2:2" x14ac:dyDescent="0.15">
      <c r="B87"/>
    </row>
    <row r="88" spans="2:2" x14ac:dyDescent="0.15">
      <c r="B88"/>
    </row>
    <row r="89" spans="2:2" x14ac:dyDescent="0.15">
      <c r="B89"/>
    </row>
    <row r="90" spans="2:2" x14ac:dyDescent="0.15">
      <c r="B90"/>
    </row>
    <row r="91" spans="2:2" x14ac:dyDescent="0.15">
      <c r="B91"/>
    </row>
    <row r="92" spans="2:2" x14ac:dyDescent="0.15">
      <c r="B92"/>
    </row>
    <row r="93" spans="2:2" x14ac:dyDescent="0.15">
      <c r="B93"/>
    </row>
    <row r="94" spans="2:2" x14ac:dyDescent="0.15">
      <c r="B94"/>
    </row>
    <row r="95" spans="2:2" x14ac:dyDescent="0.15">
      <c r="B95"/>
    </row>
    <row r="96" spans="2:2" x14ac:dyDescent="0.15">
      <c r="B96"/>
    </row>
    <row r="97" spans="2:2" x14ac:dyDescent="0.15">
      <c r="B97"/>
    </row>
    <row r="98" spans="2:2" x14ac:dyDescent="0.15">
      <c r="B98"/>
    </row>
    <row r="99" spans="2:2" x14ac:dyDescent="0.15">
      <c r="B99"/>
    </row>
    <row r="100" spans="2:2" x14ac:dyDescent="0.15">
      <c r="B100"/>
    </row>
    <row r="101" spans="2:2" x14ac:dyDescent="0.15">
      <c r="B101"/>
    </row>
    <row r="102" spans="2:2" x14ac:dyDescent="0.15">
      <c r="B102"/>
    </row>
    <row r="103" spans="2:2" x14ac:dyDescent="0.15">
      <c r="B103"/>
    </row>
    <row r="104" spans="2:2" x14ac:dyDescent="0.15">
      <c r="B104"/>
    </row>
    <row r="105" spans="2:2" x14ac:dyDescent="0.15">
      <c r="B105"/>
    </row>
    <row r="106" spans="2:2" x14ac:dyDescent="0.15">
      <c r="B106"/>
    </row>
    <row r="107" spans="2:2" x14ac:dyDescent="0.15">
      <c r="B107"/>
    </row>
    <row r="108" spans="2:2" x14ac:dyDescent="0.15">
      <c r="B108"/>
    </row>
    <row r="109" spans="2:2" x14ac:dyDescent="0.15">
      <c r="B109" s="70" t="e">
        <f>GETPIVOTDATA("SAÍDAS",$A$3)-'BASE DE DADOS - 2026'!K490</f>
        <v>#REF!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BD</vt:lpstr>
      <vt:lpstr>BASE DE DADOS - 2026</vt:lpstr>
      <vt:lpstr>TABELA DINÂMICA</vt:lpstr>
      <vt:lpstr>'BASE DE DADOS - 2026'!Area_de_impressao</vt:lpstr>
      <vt:lpstr>'BASE DE DADOS - 2026'!Titulos_de_impressao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</dc:creator>
  <cp:keywords/>
  <dc:description/>
  <cp:lastModifiedBy>Victor Borioli Yancovitz</cp:lastModifiedBy>
  <cp:revision/>
  <cp:lastPrinted>2026-02-23T20:39:49Z</cp:lastPrinted>
  <dcterms:created xsi:type="dcterms:W3CDTF">2019-01-17T11:17:14Z</dcterms:created>
  <dcterms:modified xsi:type="dcterms:W3CDTF">2026-04-19T17:05:32Z</dcterms:modified>
  <cp:category/>
  <cp:contentStatus/>
</cp:coreProperties>
</file>